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F" sheetId="1" state="visible" r:id="rId1"/>
    <sheet xmlns:r="http://schemas.openxmlformats.org/officeDocument/2006/relationships" name="Extrato" sheetId="2" state="visible" r:id="rId2"/>
    <sheet xmlns:r="http://schemas.openxmlformats.org/officeDocument/2006/relationships" name="Conciliaçã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FC7CE"/>
          <bgColor rgb="00FFC7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C6EFCE"/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20" customWidth="1" min="4" max="4"/>
  </cols>
  <sheetData>
    <row r="1">
      <c r="A1" s="1" t="inlineStr">
        <is>
          <t>Número NF</t>
        </is>
      </c>
      <c r="B1" s="1" t="inlineStr">
        <is>
          <t>Data</t>
        </is>
      </c>
      <c r="C1" s="1" t="inlineStr">
        <is>
          <t>Valor</t>
        </is>
      </c>
      <c r="D1" s="1" t="inlineStr">
        <is>
          <t>Fornecedor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20" customWidth="1" min="4" max="4"/>
  </cols>
  <sheetData>
    <row r="1">
      <c r="A1" s="1" t="inlineStr">
        <is>
          <t>Data</t>
        </is>
      </c>
      <c r="B1" s="1" t="inlineStr">
        <is>
          <t>Descrição</t>
        </is>
      </c>
      <c r="C1" s="1" t="inlineStr">
        <is>
          <t>Valor</t>
        </is>
      </c>
      <c r="D1" s="1" t="inlineStr">
        <is>
          <t>Identificador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0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20" customWidth="1" min="4" max="4"/>
    <col width="12" customWidth="1" min="5" max="5"/>
    <col width="25" customWidth="1" min="6" max="6"/>
    <col width="12" customWidth="1" min="7" max="7"/>
    <col width="15" customWidth="1" min="8" max="8"/>
  </cols>
  <sheetData>
    <row r="1">
      <c r="A1" s="2" t="inlineStr">
        <is>
          <t>Conciliação NF vs Extrato</t>
        </is>
      </c>
    </row>
    <row r="3">
      <c r="A3" s="1" t="inlineStr">
        <is>
          <t>Número NF</t>
        </is>
      </c>
      <c r="B3" s="1" t="inlineStr">
        <is>
          <t>Data NF</t>
        </is>
      </c>
      <c r="C3" s="1" t="inlineStr">
        <is>
          <t>Valor NF</t>
        </is>
      </c>
      <c r="D3" s="1" t="inlineStr">
        <is>
          <t>Fornecedor NF</t>
        </is>
      </c>
      <c r="E3" s="1" t="inlineStr">
        <is>
          <t>Data Extrato</t>
        </is>
      </c>
      <c r="F3" s="1" t="inlineStr">
        <is>
          <t>Descrição Extrato</t>
        </is>
      </c>
      <c r="G3" s="1" t="inlineStr">
        <is>
          <t>Valor Extrato</t>
        </is>
      </c>
      <c r="H3" s="1" t="inlineStr">
        <is>
          <t>Status</t>
        </is>
      </c>
      <c r="J3" s="3" t="inlineStr">
        <is>
          <t>Legenda de status:</t>
        </is>
      </c>
    </row>
    <row r="4">
      <c r="A4">
        <f>IF(NF!A2&lt;&gt;"", NF!A2, "")</f>
        <v/>
      </c>
      <c r="B4">
        <f>IF(A4&lt;&gt;"", NF!B2, "")</f>
        <v/>
      </c>
      <c r="C4">
        <f>IF(A4&lt;&gt;"", NF!C2, "")</f>
        <v/>
      </c>
      <c r="D4">
        <f>IF(A4&lt;&gt;"", NF!D2, "")</f>
        <v/>
      </c>
      <c r="E4">
        <f>IF(A4&lt;&gt;"", XLOOKUP(A4, Extrato!$D:$D, Extrato!$A:$A, ""), "")</f>
        <v/>
      </c>
      <c r="F4">
        <f>IF(A4&lt;&gt;"", XLOOKUP(A4, Extrato!$D:$D, Extrato!$B:$B, ""), "")</f>
        <v/>
      </c>
      <c r="G4">
        <f>IF(A4&lt;&gt;"", XLOOKUP(A4, Extrato!$D:$D, Extrato!$C:$C, ""), "")</f>
        <v/>
      </c>
      <c r="H4">
        <f>IF(A4="", "", IF(E4="", "Pendente", IF(C4=G4, "OK", "Valor divergente")))</f>
        <v/>
      </c>
      <c r="J4" t="inlineStr">
        <is>
          <t>OK</t>
        </is>
      </c>
      <c r="K4" t="inlineStr">
        <is>
          <t>NF corresponde ao lançamento no extrato (número e valor)</t>
        </is>
      </c>
    </row>
    <row r="5">
      <c r="A5">
        <f>IF(NF!A3&lt;&gt;"", NF!A3, "")</f>
        <v/>
      </c>
      <c r="B5">
        <f>IF(A5&lt;&gt;"", NF!B3, "")</f>
        <v/>
      </c>
      <c r="C5">
        <f>IF(A5&lt;&gt;"", NF!C3, "")</f>
        <v/>
      </c>
      <c r="D5">
        <f>IF(A5&lt;&gt;"", NF!D3, "")</f>
        <v/>
      </c>
      <c r="E5">
        <f>IF(A5&lt;&gt;"", XLOOKUP(A5, Extrato!$D:$D, Extrato!$A:$A, ""), "")</f>
        <v/>
      </c>
      <c r="F5">
        <f>IF(A5&lt;&gt;"", XLOOKUP(A5, Extrato!$D:$D, Extrato!$B:$B, ""), "")</f>
        <v/>
      </c>
      <c r="G5">
        <f>IF(A5&lt;&gt;"", XLOOKUP(A5, Extrato!$D:$D, Extrato!$C:$C, ""), "")</f>
        <v/>
      </c>
      <c r="H5">
        <f>IF(A5="", "", IF(E5="", "Pendente", IF(C5=G5, "OK", "Valor divergente")))</f>
        <v/>
      </c>
      <c r="J5" t="inlineStr">
        <is>
          <t>Valor divergente</t>
        </is>
      </c>
      <c r="K5" t="inlineStr">
        <is>
          <t>NF encontrada no extrato, mas o valor difere.</t>
        </is>
      </c>
    </row>
    <row r="6">
      <c r="A6">
        <f>IF(NF!A4&lt;&gt;"", NF!A4, "")</f>
        <v/>
      </c>
      <c r="B6">
        <f>IF(A6&lt;&gt;"", NF!B4, "")</f>
        <v/>
      </c>
      <c r="C6">
        <f>IF(A6&lt;&gt;"", NF!C4, "")</f>
        <v/>
      </c>
      <c r="D6">
        <f>IF(A6&lt;&gt;"", NF!D4, "")</f>
        <v/>
      </c>
      <c r="E6">
        <f>IF(A6&lt;&gt;"", XLOOKUP(A6, Extrato!$D:$D, Extrato!$A:$A, ""), "")</f>
        <v/>
      </c>
      <c r="F6">
        <f>IF(A6&lt;&gt;"", XLOOKUP(A6, Extrato!$D:$D, Extrato!$B:$B, ""), "")</f>
        <v/>
      </c>
      <c r="G6">
        <f>IF(A6&lt;&gt;"", XLOOKUP(A6, Extrato!$D:$D, Extrato!$C:$C, ""), "")</f>
        <v/>
      </c>
      <c r="H6">
        <f>IF(A6="", "", IF(E6="", "Pendente", IF(C6=G6, "OK", "Valor divergente")))</f>
        <v/>
      </c>
      <c r="J6" t="inlineStr">
        <is>
          <t>Pendente</t>
        </is>
      </c>
      <c r="K6" t="inlineStr">
        <is>
          <t>NF sem correspondência no extrato.</t>
        </is>
      </c>
    </row>
    <row r="7">
      <c r="A7">
        <f>IF(NF!A5&lt;&gt;"", NF!A5, "")</f>
        <v/>
      </c>
      <c r="B7">
        <f>IF(A7&lt;&gt;"", NF!B5, "")</f>
        <v/>
      </c>
      <c r="C7">
        <f>IF(A7&lt;&gt;"", NF!C5, "")</f>
        <v/>
      </c>
      <c r="D7">
        <f>IF(A7&lt;&gt;"", NF!D5, "")</f>
        <v/>
      </c>
      <c r="E7">
        <f>IF(A7&lt;&gt;"", XLOOKUP(A7, Extrato!$D:$D, Extrato!$A:$A, ""), "")</f>
        <v/>
      </c>
      <c r="F7">
        <f>IF(A7&lt;&gt;"", XLOOKUP(A7, Extrato!$D:$D, Extrato!$B:$B, ""), "")</f>
        <v/>
      </c>
      <c r="G7">
        <f>IF(A7&lt;&gt;"", XLOOKUP(A7, Extrato!$D:$D, Extrato!$C:$C, ""), "")</f>
        <v/>
      </c>
      <c r="H7">
        <f>IF(A7="", "", IF(E7="", "Pendente", IF(C7=G7, "OK", "Valor divergente")))</f>
        <v/>
      </c>
      <c r="J7" t="inlineStr">
        <is>
          <t>Lançamento sem NF</t>
        </is>
      </c>
      <c r="K7" t="inlineStr">
        <is>
          <t>Entrada no extrato sem NF correspondente.</t>
        </is>
      </c>
    </row>
    <row r="8">
      <c r="A8">
        <f>IF(NF!A6&lt;&gt;"", NF!A6, "")</f>
        <v/>
      </c>
      <c r="B8">
        <f>IF(A8&lt;&gt;"", NF!B6, "")</f>
        <v/>
      </c>
      <c r="C8">
        <f>IF(A8&lt;&gt;"", NF!C6, "")</f>
        <v/>
      </c>
      <c r="D8">
        <f>IF(A8&lt;&gt;"", NF!D6, "")</f>
        <v/>
      </c>
      <c r="E8">
        <f>IF(A8&lt;&gt;"", XLOOKUP(A8, Extrato!$D:$D, Extrato!$A:$A, ""), "")</f>
        <v/>
      </c>
      <c r="F8">
        <f>IF(A8&lt;&gt;"", XLOOKUP(A8, Extrato!$D:$D, Extrato!$B:$B, ""), "")</f>
        <v/>
      </c>
      <c r="G8">
        <f>IF(A8&lt;&gt;"", XLOOKUP(A8, Extrato!$D:$D, Extrato!$C:$C, ""), "")</f>
        <v/>
      </c>
      <c r="H8">
        <f>IF(A8="", "", IF(E8="", "Pendente", IF(C8=G8, "OK", "Valor divergente")))</f>
        <v/>
      </c>
    </row>
    <row r="9">
      <c r="A9">
        <f>IF(NF!A7&lt;&gt;"", NF!A7, "")</f>
        <v/>
      </c>
      <c r="B9">
        <f>IF(A9&lt;&gt;"", NF!B7, "")</f>
        <v/>
      </c>
      <c r="C9">
        <f>IF(A9&lt;&gt;"", NF!C7, "")</f>
        <v/>
      </c>
      <c r="D9">
        <f>IF(A9&lt;&gt;"", NF!D7, "")</f>
        <v/>
      </c>
      <c r="E9">
        <f>IF(A9&lt;&gt;"", XLOOKUP(A9, Extrato!$D:$D, Extrato!$A:$A, ""), "")</f>
        <v/>
      </c>
      <c r="F9">
        <f>IF(A9&lt;&gt;"", XLOOKUP(A9, Extrato!$D:$D, Extrato!$B:$B, ""), "")</f>
        <v/>
      </c>
      <c r="G9">
        <f>IF(A9&lt;&gt;"", XLOOKUP(A9, Extrato!$D:$D, Extrato!$C:$C, ""), "")</f>
        <v/>
      </c>
      <c r="H9">
        <f>IF(A9="", "", IF(E9="", "Pendente", IF(C9=G9, "OK", "Valor divergente")))</f>
        <v/>
      </c>
    </row>
    <row r="10">
      <c r="A10">
        <f>IF(NF!A8&lt;&gt;"", NF!A8, "")</f>
        <v/>
      </c>
      <c r="B10">
        <f>IF(A10&lt;&gt;"", NF!B8, "")</f>
        <v/>
      </c>
      <c r="C10">
        <f>IF(A10&lt;&gt;"", NF!C8, "")</f>
        <v/>
      </c>
      <c r="D10">
        <f>IF(A10&lt;&gt;"", NF!D8, "")</f>
        <v/>
      </c>
      <c r="E10">
        <f>IF(A10&lt;&gt;"", XLOOKUP(A10, Extrato!$D:$D, Extrato!$A:$A, ""), "")</f>
        <v/>
      </c>
      <c r="F10">
        <f>IF(A10&lt;&gt;"", XLOOKUP(A10, Extrato!$D:$D, Extrato!$B:$B, ""), "")</f>
        <v/>
      </c>
      <c r="G10">
        <f>IF(A10&lt;&gt;"", XLOOKUP(A10, Extrato!$D:$D, Extrato!$C:$C, ""), "")</f>
        <v/>
      </c>
      <c r="H10">
        <f>IF(A10="", "", IF(E10="", "Pendente", IF(C10=G10, "OK", "Valor divergente")))</f>
        <v/>
      </c>
    </row>
    <row r="11">
      <c r="A11">
        <f>IF(NF!A9&lt;&gt;"", NF!A9, "")</f>
        <v/>
      </c>
      <c r="B11">
        <f>IF(A11&lt;&gt;"", NF!B9, "")</f>
        <v/>
      </c>
      <c r="C11">
        <f>IF(A11&lt;&gt;"", NF!C9, "")</f>
        <v/>
      </c>
      <c r="D11">
        <f>IF(A11&lt;&gt;"", NF!D9, "")</f>
        <v/>
      </c>
      <c r="E11">
        <f>IF(A11&lt;&gt;"", XLOOKUP(A11, Extrato!$D:$D, Extrato!$A:$A, ""), "")</f>
        <v/>
      </c>
      <c r="F11">
        <f>IF(A11&lt;&gt;"", XLOOKUP(A11, Extrato!$D:$D, Extrato!$B:$B, ""), "")</f>
        <v/>
      </c>
      <c r="G11">
        <f>IF(A11&lt;&gt;"", XLOOKUP(A11, Extrato!$D:$D, Extrato!$C:$C, ""), "")</f>
        <v/>
      </c>
      <c r="H11">
        <f>IF(A11="", "", IF(E11="", "Pendente", IF(C11=G11, "OK", "Valor divergente")))</f>
        <v/>
      </c>
    </row>
    <row r="12">
      <c r="A12">
        <f>IF(NF!A10&lt;&gt;"", NF!A10, "")</f>
        <v/>
      </c>
      <c r="B12">
        <f>IF(A12&lt;&gt;"", NF!B10, "")</f>
        <v/>
      </c>
      <c r="C12">
        <f>IF(A12&lt;&gt;"", NF!C10, "")</f>
        <v/>
      </c>
      <c r="D12">
        <f>IF(A12&lt;&gt;"", NF!D10, "")</f>
        <v/>
      </c>
      <c r="E12">
        <f>IF(A12&lt;&gt;"", XLOOKUP(A12, Extrato!$D:$D, Extrato!$A:$A, ""), "")</f>
        <v/>
      </c>
      <c r="F12">
        <f>IF(A12&lt;&gt;"", XLOOKUP(A12, Extrato!$D:$D, Extrato!$B:$B, ""), "")</f>
        <v/>
      </c>
      <c r="G12">
        <f>IF(A12&lt;&gt;"", XLOOKUP(A12, Extrato!$D:$D, Extrato!$C:$C, ""), "")</f>
        <v/>
      </c>
      <c r="H12">
        <f>IF(A12="", "", IF(E12="", "Pendente", IF(C12=G12, "OK", "Valor divergente")))</f>
        <v/>
      </c>
    </row>
    <row r="13">
      <c r="A13">
        <f>IF(NF!A11&lt;&gt;"", NF!A11, "")</f>
        <v/>
      </c>
      <c r="B13">
        <f>IF(A13&lt;&gt;"", NF!B11, "")</f>
        <v/>
      </c>
      <c r="C13">
        <f>IF(A13&lt;&gt;"", NF!C11, "")</f>
        <v/>
      </c>
      <c r="D13">
        <f>IF(A13&lt;&gt;"", NF!D11, "")</f>
        <v/>
      </c>
      <c r="E13">
        <f>IF(A13&lt;&gt;"", XLOOKUP(A13, Extrato!$D:$D, Extrato!$A:$A, ""), "")</f>
        <v/>
      </c>
      <c r="F13">
        <f>IF(A13&lt;&gt;"", XLOOKUP(A13, Extrato!$D:$D, Extrato!$B:$B, ""), "")</f>
        <v/>
      </c>
      <c r="G13">
        <f>IF(A13&lt;&gt;"", XLOOKUP(A13, Extrato!$D:$D, Extrato!$C:$C, ""), "")</f>
        <v/>
      </c>
      <c r="H13">
        <f>IF(A13="", "", IF(E13="", "Pendente", IF(C13=G13, "OK", "Valor divergente")))</f>
        <v/>
      </c>
    </row>
    <row r="14">
      <c r="A14">
        <f>IF(NF!A12&lt;&gt;"", NF!A12, "")</f>
        <v/>
      </c>
      <c r="B14">
        <f>IF(A14&lt;&gt;"", NF!B12, "")</f>
        <v/>
      </c>
      <c r="C14">
        <f>IF(A14&lt;&gt;"", NF!C12, "")</f>
        <v/>
      </c>
      <c r="D14">
        <f>IF(A14&lt;&gt;"", NF!D12, "")</f>
        <v/>
      </c>
      <c r="E14">
        <f>IF(A14&lt;&gt;"", XLOOKUP(A14, Extrato!$D:$D, Extrato!$A:$A, ""), "")</f>
        <v/>
      </c>
      <c r="F14">
        <f>IF(A14&lt;&gt;"", XLOOKUP(A14, Extrato!$D:$D, Extrato!$B:$B, ""), "")</f>
        <v/>
      </c>
      <c r="G14">
        <f>IF(A14&lt;&gt;"", XLOOKUP(A14, Extrato!$D:$D, Extrato!$C:$C, ""), "")</f>
        <v/>
      </c>
      <c r="H14">
        <f>IF(A14="", "", IF(E14="", "Pendente", IF(C14=G14, "OK", "Valor divergente")))</f>
        <v/>
      </c>
    </row>
    <row r="15">
      <c r="A15">
        <f>IF(NF!A13&lt;&gt;"", NF!A13, "")</f>
        <v/>
      </c>
      <c r="B15">
        <f>IF(A15&lt;&gt;"", NF!B13, "")</f>
        <v/>
      </c>
      <c r="C15">
        <f>IF(A15&lt;&gt;"", NF!C13, "")</f>
        <v/>
      </c>
      <c r="D15">
        <f>IF(A15&lt;&gt;"", NF!D13, "")</f>
        <v/>
      </c>
      <c r="E15">
        <f>IF(A15&lt;&gt;"", XLOOKUP(A15, Extrato!$D:$D, Extrato!$A:$A, ""), "")</f>
        <v/>
      </c>
      <c r="F15">
        <f>IF(A15&lt;&gt;"", XLOOKUP(A15, Extrato!$D:$D, Extrato!$B:$B, ""), "")</f>
        <v/>
      </c>
      <c r="G15">
        <f>IF(A15&lt;&gt;"", XLOOKUP(A15, Extrato!$D:$D, Extrato!$C:$C, ""), "")</f>
        <v/>
      </c>
      <c r="H15">
        <f>IF(A15="", "", IF(E15="", "Pendente", IF(C15=G15, "OK", "Valor divergente")))</f>
        <v/>
      </c>
    </row>
    <row r="16">
      <c r="A16">
        <f>IF(NF!A14&lt;&gt;"", NF!A14, "")</f>
        <v/>
      </c>
      <c r="B16">
        <f>IF(A16&lt;&gt;"", NF!B14, "")</f>
        <v/>
      </c>
      <c r="C16">
        <f>IF(A16&lt;&gt;"", NF!C14, "")</f>
        <v/>
      </c>
      <c r="D16">
        <f>IF(A16&lt;&gt;"", NF!D14, "")</f>
        <v/>
      </c>
      <c r="E16">
        <f>IF(A16&lt;&gt;"", XLOOKUP(A16, Extrato!$D:$D, Extrato!$A:$A, ""), "")</f>
        <v/>
      </c>
      <c r="F16">
        <f>IF(A16&lt;&gt;"", XLOOKUP(A16, Extrato!$D:$D, Extrato!$B:$B, ""), "")</f>
        <v/>
      </c>
      <c r="G16">
        <f>IF(A16&lt;&gt;"", XLOOKUP(A16, Extrato!$D:$D, Extrato!$C:$C, ""), "")</f>
        <v/>
      </c>
      <c r="H16">
        <f>IF(A16="", "", IF(E16="", "Pendente", IF(C16=G16, "OK", "Valor divergente")))</f>
        <v/>
      </c>
    </row>
    <row r="17">
      <c r="A17">
        <f>IF(NF!A15&lt;&gt;"", NF!A15, "")</f>
        <v/>
      </c>
      <c r="B17">
        <f>IF(A17&lt;&gt;"", NF!B15, "")</f>
        <v/>
      </c>
      <c r="C17">
        <f>IF(A17&lt;&gt;"", NF!C15, "")</f>
        <v/>
      </c>
      <c r="D17">
        <f>IF(A17&lt;&gt;"", NF!D15, "")</f>
        <v/>
      </c>
      <c r="E17">
        <f>IF(A17&lt;&gt;"", XLOOKUP(A17, Extrato!$D:$D, Extrato!$A:$A, ""), "")</f>
        <v/>
      </c>
      <c r="F17">
        <f>IF(A17&lt;&gt;"", XLOOKUP(A17, Extrato!$D:$D, Extrato!$B:$B, ""), "")</f>
        <v/>
      </c>
      <c r="G17">
        <f>IF(A17&lt;&gt;"", XLOOKUP(A17, Extrato!$D:$D, Extrato!$C:$C, ""), "")</f>
        <v/>
      </c>
      <c r="H17">
        <f>IF(A17="", "", IF(E17="", "Pendente", IF(C17=G17, "OK", "Valor divergente")))</f>
        <v/>
      </c>
    </row>
    <row r="18">
      <c r="A18">
        <f>IF(NF!A16&lt;&gt;"", NF!A16, "")</f>
        <v/>
      </c>
      <c r="B18">
        <f>IF(A18&lt;&gt;"", NF!B16, "")</f>
        <v/>
      </c>
      <c r="C18">
        <f>IF(A18&lt;&gt;"", NF!C16, "")</f>
        <v/>
      </c>
      <c r="D18">
        <f>IF(A18&lt;&gt;"", NF!D16, "")</f>
        <v/>
      </c>
      <c r="E18">
        <f>IF(A18&lt;&gt;"", XLOOKUP(A18, Extrato!$D:$D, Extrato!$A:$A, ""), "")</f>
        <v/>
      </c>
      <c r="F18">
        <f>IF(A18&lt;&gt;"", XLOOKUP(A18, Extrato!$D:$D, Extrato!$B:$B, ""), "")</f>
        <v/>
      </c>
      <c r="G18">
        <f>IF(A18&lt;&gt;"", XLOOKUP(A18, Extrato!$D:$D, Extrato!$C:$C, ""), "")</f>
        <v/>
      </c>
      <c r="H18">
        <f>IF(A18="", "", IF(E18="", "Pendente", IF(C18=G18, "OK", "Valor divergente")))</f>
        <v/>
      </c>
    </row>
    <row r="19">
      <c r="A19">
        <f>IF(NF!A17&lt;&gt;"", NF!A17, "")</f>
        <v/>
      </c>
      <c r="B19">
        <f>IF(A19&lt;&gt;"", NF!B17, "")</f>
        <v/>
      </c>
      <c r="C19">
        <f>IF(A19&lt;&gt;"", NF!C17, "")</f>
        <v/>
      </c>
      <c r="D19">
        <f>IF(A19&lt;&gt;"", NF!D17, "")</f>
        <v/>
      </c>
      <c r="E19">
        <f>IF(A19&lt;&gt;"", XLOOKUP(A19, Extrato!$D:$D, Extrato!$A:$A, ""), "")</f>
        <v/>
      </c>
      <c r="F19">
        <f>IF(A19&lt;&gt;"", XLOOKUP(A19, Extrato!$D:$D, Extrato!$B:$B, ""), "")</f>
        <v/>
      </c>
      <c r="G19">
        <f>IF(A19&lt;&gt;"", XLOOKUP(A19, Extrato!$D:$D, Extrato!$C:$C, ""), "")</f>
        <v/>
      </c>
      <c r="H19">
        <f>IF(A19="", "", IF(E19="", "Pendente", IF(C19=G19, "OK", "Valor divergente")))</f>
        <v/>
      </c>
    </row>
    <row r="20">
      <c r="A20">
        <f>IF(NF!A18&lt;&gt;"", NF!A18, "")</f>
        <v/>
      </c>
      <c r="B20">
        <f>IF(A20&lt;&gt;"", NF!B18, "")</f>
        <v/>
      </c>
      <c r="C20">
        <f>IF(A20&lt;&gt;"", NF!C18, "")</f>
        <v/>
      </c>
      <c r="D20">
        <f>IF(A20&lt;&gt;"", NF!D18, "")</f>
        <v/>
      </c>
      <c r="E20">
        <f>IF(A20&lt;&gt;"", XLOOKUP(A20, Extrato!$D:$D, Extrato!$A:$A, ""), "")</f>
        <v/>
      </c>
      <c r="F20">
        <f>IF(A20&lt;&gt;"", XLOOKUP(A20, Extrato!$D:$D, Extrato!$B:$B, ""), "")</f>
        <v/>
      </c>
      <c r="G20">
        <f>IF(A20&lt;&gt;"", XLOOKUP(A20, Extrato!$D:$D, Extrato!$C:$C, ""), "")</f>
        <v/>
      </c>
      <c r="H20">
        <f>IF(A20="", "", IF(E20="", "Pendente", IF(C20=G20, "OK", "Valor divergente")))</f>
        <v/>
      </c>
    </row>
    <row r="21">
      <c r="A21">
        <f>IF(NF!A19&lt;&gt;"", NF!A19, "")</f>
        <v/>
      </c>
      <c r="B21">
        <f>IF(A21&lt;&gt;"", NF!B19, "")</f>
        <v/>
      </c>
      <c r="C21">
        <f>IF(A21&lt;&gt;"", NF!C19, "")</f>
        <v/>
      </c>
      <c r="D21">
        <f>IF(A21&lt;&gt;"", NF!D19, "")</f>
        <v/>
      </c>
      <c r="E21">
        <f>IF(A21&lt;&gt;"", XLOOKUP(A21, Extrato!$D:$D, Extrato!$A:$A, ""), "")</f>
        <v/>
      </c>
      <c r="F21">
        <f>IF(A21&lt;&gt;"", XLOOKUP(A21, Extrato!$D:$D, Extrato!$B:$B, ""), "")</f>
        <v/>
      </c>
      <c r="G21">
        <f>IF(A21&lt;&gt;"", XLOOKUP(A21, Extrato!$D:$D, Extrato!$C:$C, ""), "")</f>
        <v/>
      </c>
      <c r="H21">
        <f>IF(A21="", "", IF(E21="", "Pendente", IF(C21=G21, "OK", "Valor divergente")))</f>
        <v/>
      </c>
    </row>
    <row r="22">
      <c r="A22">
        <f>IF(NF!A20&lt;&gt;"", NF!A20, "")</f>
        <v/>
      </c>
      <c r="B22">
        <f>IF(A22&lt;&gt;"", NF!B20, "")</f>
        <v/>
      </c>
      <c r="C22">
        <f>IF(A22&lt;&gt;"", NF!C20, "")</f>
        <v/>
      </c>
      <c r="D22">
        <f>IF(A22&lt;&gt;"", NF!D20, "")</f>
        <v/>
      </c>
      <c r="E22">
        <f>IF(A22&lt;&gt;"", XLOOKUP(A22, Extrato!$D:$D, Extrato!$A:$A, ""), "")</f>
        <v/>
      </c>
      <c r="F22">
        <f>IF(A22&lt;&gt;"", XLOOKUP(A22, Extrato!$D:$D, Extrato!$B:$B, ""), "")</f>
        <v/>
      </c>
      <c r="G22">
        <f>IF(A22&lt;&gt;"", XLOOKUP(A22, Extrato!$D:$D, Extrato!$C:$C, ""), "")</f>
        <v/>
      </c>
      <c r="H22">
        <f>IF(A22="", "", IF(E22="", "Pendente", IF(C22=G22, "OK", "Valor divergente")))</f>
        <v/>
      </c>
    </row>
    <row r="23">
      <c r="A23">
        <f>IF(NF!A21&lt;&gt;"", NF!A21, "")</f>
        <v/>
      </c>
      <c r="B23">
        <f>IF(A23&lt;&gt;"", NF!B21, "")</f>
        <v/>
      </c>
      <c r="C23">
        <f>IF(A23&lt;&gt;"", NF!C21, "")</f>
        <v/>
      </c>
      <c r="D23">
        <f>IF(A23&lt;&gt;"", NF!D21, "")</f>
        <v/>
      </c>
      <c r="E23">
        <f>IF(A23&lt;&gt;"", XLOOKUP(A23, Extrato!$D:$D, Extrato!$A:$A, ""), "")</f>
        <v/>
      </c>
      <c r="F23">
        <f>IF(A23&lt;&gt;"", XLOOKUP(A23, Extrato!$D:$D, Extrato!$B:$B, ""), "")</f>
        <v/>
      </c>
      <c r="G23">
        <f>IF(A23&lt;&gt;"", XLOOKUP(A23, Extrato!$D:$D, Extrato!$C:$C, ""), "")</f>
        <v/>
      </c>
      <c r="H23">
        <f>IF(A23="", "", IF(E23="", "Pendente", IF(C23=G23, "OK", "Valor divergente")))</f>
        <v/>
      </c>
    </row>
    <row r="24">
      <c r="A24">
        <f>IF(NF!A22&lt;&gt;"", NF!A22, "")</f>
        <v/>
      </c>
      <c r="B24">
        <f>IF(A24&lt;&gt;"", NF!B22, "")</f>
        <v/>
      </c>
      <c r="C24">
        <f>IF(A24&lt;&gt;"", NF!C22, "")</f>
        <v/>
      </c>
      <c r="D24">
        <f>IF(A24&lt;&gt;"", NF!D22, "")</f>
        <v/>
      </c>
      <c r="E24">
        <f>IF(A24&lt;&gt;"", XLOOKUP(A24, Extrato!$D:$D, Extrato!$A:$A, ""), "")</f>
        <v/>
      </c>
      <c r="F24">
        <f>IF(A24&lt;&gt;"", XLOOKUP(A24, Extrato!$D:$D, Extrato!$B:$B, ""), "")</f>
        <v/>
      </c>
      <c r="G24">
        <f>IF(A24&lt;&gt;"", XLOOKUP(A24, Extrato!$D:$D, Extrato!$C:$C, ""), "")</f>
        <v/>
      </c>
      <c r="H24">
        <f>IF(A24="", "", IF(E24="", "Pendente", IF(C24=G24, "OK", "Valor divergente")))</f>
        <v/>
      </c>
    </row>
    <row r="25">
      <c r="A25">
        <f>IF(NF!A23&lt;&gt;"", NF!A23, "")</f>
        <v/>
      </c>
      <c r="B25">
        <f>IF(A25&lt;&gt;"", NF!B23, "")</f>
        <v/>
      </c>
      <c r="C25">
        <f>IF(A25&lt;&gt;"", NF!C23, "")</f>
        <v/>
      </c>
      <c r="D25">
        <f>IF(A25&lt;&gt;"", NF!D23, "")</f>
        <v/>
      </c>
      <c r="E25">
        <f>IF(A25&lt;&gt;"", XLOOKUP(A25, Extrato!$D:$D, Extrato!$A:$A, ""), "")</f>
        <v/>
      </c>
      <c r="F25">
        <f>IF(A25&lt;&gt;"", XLOOKUP(A25, Extrato!$D:$D, Extrato!$B:$B, ""), "")</f>
        <v/>
      </c>
      <c r="G25">
        <f>IF(A25&lt;&gt;"", XLOOKUP(A25, Extrato!$D:$D, Extrato!$C:$C, ""), "")</f>
        <v/>
      </c>
      <c r="H25">
        <f>IF(A25="", "", IF(E25="", "Pendente", IF(C25=G25, "OK", "Valor divergente")))</f>
        <v/>
      </c>
    </row>
    <row r="26">
      <c r="A26">
        <f>IF(NF!A24&lt;&gt;"", NF!A24, "")</f>
        <v/>
      </c>
      <c r="B26">
        <f>IF(A26&lt;&gt;"", NF!B24, "")</f>
        <v/>
      </c>
      <c r="C26">
        <f>IF(A26&lt;&gt;"", NF!C24, "")</f>
        <v/>
      </c>
      <c r="D26">
        <f>IF(A26&lt;&gt;"", NF!D24, "")</f>
        <v/>
      </c>
      <c r="E26">
        <f>IF(A26&lt;&gt;"", XLOOKUP(A26, Extrato!$D:$D, Extrato!$A:$A, ""), "")</f>
        <v/>
      </c>
      <c r="F26">
        <f>IF(A26&lt;&gt;"", XLOOKUP(A26, Extrato!$D:$D, Extrato!$B:$B, ""), "")</f>
        <v/>
      </c>
      <c r="G26">
        <f>IF(A26&lt;&gt;"", XLOOKUP(A26, Extrato!$D:$D, Extrato!$C:$C, ""), "")</f>
        <v/>
      </c>
      <c r="H26">
        <f>IF(A26="", "", IF(E26="", "Pendente", IF(C26=G26, "OK", "Valor divergente")))</f>
        <v/>
      </c>
    </row>
    <row r="27">
      <c r="A27">
        <f>IF(NF!A25&lt;&gt;"", NF!A25, "")</f>
        <v/>
      </c>
      <c r="B27">
        <f>IF(A27&lt;&gt;"", NF!B25, "")</f>
        <v/>
      </c>
      <c r="C27">
        <f>IF(A27&lt;&gt;"", NF!C25, "")</f>
        <v/>
      </c>
      <c r="D27">
        <f>IF(A27&lt;&gt;"", NF!D25, "")</f>
        <v/>
      </c>
      <c r="E27">
        <f>IF(A27&lt;&gt;"", XLOOKUP(A27, Extrato!$D:$D, Extrato!$A:$A, ""), "")</f>
        <v/>
      </c>
      <c r="F27">
        <f>IF(A27&lt;&gt;"", XLOOKUP(A27, Extrato!$D:$D, Extrato!$B:$B, ""), "")</f>
        <v/>
      </c>
      <c r="G27">
        <f>IF(A27&lt;&gt;"", XLOOKUP(A27, Extrato!$D:$D, Extrato!$C:$C, ""), "")</f>
        <v/>
      </c>
      <c r="H27">
        <f>IF(A27="", "", IF(E27="", "Pendente", IF(C27=G27, "OK", "Valor divergente")))</f>
        <v/>
      </c>
    </row>
    <row r="28">
      <c r="A28">
        <f>IF(NF!A26&lt;&gt;"", NF!A26, "")</f>
        <v/>
      </c>
      <c r="B28">
        <f>IF(A28&lt;&gt;"", NF!B26, "")</f>
        <v/>
      </c>
      <c r="C28">
        <f>IF(A28&lt;&gt;"", NF!C26, "")</f>
        <v/>
      </c>
      <c r="D28">
        <f>IF(A28&lt;&gt;"", NF!D26, "")</f>
        <v/>
      </c>
      <c r="E28">
        <f>IF(A28&lt;&gt;"", XLOOKUP(A28, Extrato!$D:$D, Extrato!$A:$A, ""), "")</f>
        <v/>
      </c>
      <c r="F28">
        <f>IF(A28&lt;&gt;"", XLOOKUP(A28, Extrato!$D:$D, Extrato!$B:$B, ""), "")</f>
        <v/>
      </c>
      <c r="G28">
        <f>IF(A28&lt;&gt;"", XLOOKUP(A28, Extrato!$D:$D, Extrato!$C:$C, ""), "")</f>
        <v/>
      </c>
      <c r="H28">
        <f>IF(A28="", "", IF(E28="", "Pendente", IF(C28=G28, "OK", "Valor divergente")))</f>
        <v/>
      </c>
    </row>
    <row r="29">
      <c r="A29">
        <f>IF(NF!A27&lt;&gt;"", NF!A27, "")</f>
        <v/>
      </c>
      <c r="B29">
        <f>IF(A29&lt;&gt;"", NF!B27, "")</f>
        <v/>
      </c>
      <c r="C29">
        <f>IF(A29&lt;&gt;"", NF!C27, "")</f>
        <v/>
      </c>
      <c r="D29">
        <f>IF(A29&lt;&gt;"", NF!D27, "")</f>
        <v/>
      </c>
      <c r="E29">
        <f>IF(A29&lt;&gt;"", XLOOKUP(A29, Extrato!$D:$D, Extrato!$A:$A, ""), "")</f>
        <v/>
      </c>
      <c r="F29">
        <f>IF(A29&lt;&gt;"", XLOOKUP(A29, Extrato!$D:$D, Extrato!$B:$B, ""), "")</f>
        <v/>
      </c>
      <c r="G29">
        <f>IF(A29&lt;&gt;"", XLOOKUP(A29, Extrato!$D:$D, Extrato!$C:$C, ""), "")</f>
        <v/>
      </c>
      <c r="H29">
        <f>IF(A29="", "", IF(E29="", "Pendente", IF(C29=G29, "OK", "Valor divergente")))</f>
        <v/>
      </c>
    </row>
    <row r="30">
      <c r="A30">
        <f>IF(NF!A28&lt;&gt;"", NF!A28, "")</f>
        <v/>
      </c>
      <c r="B30">
        <f>IF(A30&lt;&gt;"", NF!B28, "")</f>
        <v/>
      </c>
      <c r="C30">
        <f>IF(A30&lt;&gt;"", NF!C28, "")</f>
        <v/>
      </c>
      <c r="D30">
        <f>IF(A30&lt;&gt;"", NF!D28, "")</f>
        <v/>
      </c>
      <c r="E30">
        <f>IF(A30&lt;&gt;"", XLOOKUP(A30, Extrato!$D:$D, Extrato!$A:$A, ""), "")</f>
        <v/>
      </c>
      <c r="F30">
        <f>IF(A30&lt;&gt;"", XLOOKUP(A30, Extrato!$D:$D, Extrato!$B:$B, ""), "")</f>
        <v/>
      </c>
      <c r="G30">
        <f>IF(A30&lt;&gt;"", XLOOKUP(A30, Extrato!$D:$D, Extrato!$C:$C, ""), "")</f>
        <v/>
      </c>
      <c r="H30">
        <f>IF(A30="", "", IF(E30="", "Pendente", IF(C30=G30, "OK", "Valor divergente")))</f>
        <v/>
      </c>
    </row>
    <row r="31">
      <c r="A31">
        <f>IF(NF!A29&lt;&gt;"", NF!A29, "")</f>
        <v/>
      </c>
      <c r="B31">
        <f>IF(A31&lt;&gt;"", NF!B29, "")</f>
        <v/>
      </c>
      <c r="C31">
        <f>IF(A31&lt;&gt;"", NF!C29, "")</f>
        <v/>
      </c>
      <c r="D31">
        <f>IF(A31&lt;&gt;"", NF!D29, "")</f>
        <v/>
      </c>
      <c r="E31">
        <f>IF(A31&lt;&gt;"", XLOOKUP(A31, Extrato!$D:$D, Extrato!$A:$A, ""), "")</f>
        <v/>
      </c>
      <c r="F31">
        <f>IF(A31&lt;&gt;"", XLOOKUP(A31, Extrato!$D:$D, Extrato!$B:$B, ""), "")</f>
        <v/>
      </c>
      <c r="G31">
        <f>IF(A31&lt;&gt;"", XLOOKUP(A31, Extrato!$D:$D, Extrato!$C:$C, ""), "")</f>
        <v/>
      </c>
      <c r="H31">
        <f>IF(A31="", "", IF(E31="", "Pendente", IF(C31=G31, "OK", "Valor divergente")))</f>
        <v/>
      </c>
    </row>
    <row r="32">
      <c r="A32">
        <f>IF(NF!A30&lt;&gt;"", NF!A30, "")</f>
        <v/>
      </c>
      <c r="B32">
        <f>IF(A32&lt;&gt;"", NF!B30, "")</f>
        <v/>
      </c>
      <c r="C32">
        <f>IF(A32&lt;&gt;"", NF!C30, "")</f>
        <v/>
      </c>
      <c r="D32">
        <f>IF(A32&lt;&gt;"", NF!D30, "")</f>
        <v/>
      </c>
      <c r="E32">
        <f>IF(A32&lt;&gt;"", XLOOKUP(A32, Extrato!$D:$D, Extrato!$A:$A, ""), "")</f>
        <v/>
      </c>
      <c r="F32">
        <f>IF(A32&lt;&gt;"", XLOOKUP(A32, Extrato!$D:$D, Extrato!$B:$B, ""), "")</f>
        <v/>
      </c>
      <c r="G32">
        <f>IF(A32&lt;&gt;"", XLOOKUP(A32, Extrato!$D:$D, Extrato!$C:$C, ""), "")</f>
        <v/>
      </c>
      <c r="H32">
        <f>IF(A32="", "", IF(E32="", "Pendente", IF(C32=G32, "OK", "Valor divergente")))</f>
        <v/>
      </c>
    </row>
    <row r="33">
      <c r="A33">
        <f>IF(NF!A31&lt;&gt;"", NF!A31, "")</f>
        <v/>
      </c>
      <c r="B33">
        <f>IF(A33&lt;&gt;"", NF!B31, "")</f>
        <v/>
      </c>
      <c r="C33">
        <f>IF(A33&lt;&gt;"", NF!C31, "")</f>
        <v/>
      </c>
      <c r="D33">
        <f>IF(A33&lt;&gt;"", NF!D31, "")</f>
        <v/>
      </c>
      <c r="E33">
        <f>IF(A33&lt;&gt;"", XLOOKUP(A33, Extrato!$D:$D, Extrato!$A:$A, ""), "")</f>
        <v/>
      </c>
      <c r="F33">
        <f>IF(A33&lt;&gt;"", XLOOKUP(A33, Extrato!$D:$D, Extrato!$B:$B, ""), "")</f>
        <v/>
      </c>
      <c r="G33">
        <f>IF(A33&lt;&gt;"", XLOOKUP(A33, Extrato!$D:$D, Extrato!$C:$C, ""), "")</f>
        <v/>
      </c>
      <c r="H33">
        <f>IF(A33="", "", IF(E33="", "Pendente", IF(C33=G33, "OK", "Valor divergente")))</f>
        <v/>
      </c>
    </row>
    <row r="34">
      <c r="A34">
        <f>IF(NF!A32&lt;&gt;"", NF!A32, "")</f>
        <v/>
      </c>
      <c r="B34">
        <f>IF(A34&lt;&gt;"", NF!B32, "")</f>
        <v/>
      </c>
      <c r="C34">
        <f>IF(A34&lt;&gt;"", NF!C32, "")</f>
        <v/>
      </c>
      <c r="D34">
        <f>IF(A34&lt;&gt;"", NF!D32, "")</f>
        <v/>
      </c>
      <c r="E34">
        <f>IF(A34&lt;&gt;"", XLOOKUP(A34, Extrato!$D:$D, Extrato!$A:$A, ""), "")</f>
        <v/>
      </c>
      <c r="F34">
        <f>IF(A34&lt;&gt;"", XLOOKUP(A34, Extrato!$D:$D, Extrato!$B:$B, ""), "")</f>
        <v/>
      </c>
      <c r="G34">
        <f>IF(A34&lt;&gt;"", XLOOKUP(A34, Extrato!$D:$D, Extrato!$C:$C, ""), "")</f>
        <v/>
      </c>
      <c r="H34">
        <f>IF(A34="", "", IF(E34="", "Pendente", IF(C34=G34, "OK", "Valor divergente")))</f>
        <v/>
      </c>
    </row>
    <row r="35">
      <c r="A35">
        <f>IF(NF!A33&lt;&gt;"", NF!A33, "")</f>
        <v/>
      </c>
      <c r="B35">
        <f>IF(A35&lt;&gt;"", NF!B33, "")</f>
        <v/>
      </c>
      <c r="C35">
        <f>IF(A35&lt;&gt;"", NF!C33, "")</f>
        <v/>
      </c>
      <c r="D35">
        <f>IF(A35&lt;&gt;"", NF!D33, "")</f>
        <v/>
      </c>
      <c r="E35">
        <f>IF(A35&lt;&gt;"", XLOOKUP(A35, Extrato!$D:$D, Extrato!$A:$A, ""), "")</f>
        <v/>
      </c>
      <c r="F35">
        <f>IF(A35&lt;&gt;"", XLOOKUP(A35, Extrato!$D:$D, Extrato!$B:$B, ""), "")</f>
        <v/>
      </c>
      <c r="G35">
        <f>IF(A35&lt;&gt;"", XLOOKUP(A35, Extrato!$D:$D, Extrato!$C:$C, ""), "")</f>
        <v/>
      </c>
      <c r="H35">
        <f>IF(A35="", "", IF(E35="", "Pendente", IF(C35=G35, "OK", "Valor divergente")))</f>
        <v/>
      </c>
    </row>
    <row r="36">
      <c r="A36">
        <f>IF(NF!A34&lt;&gt;"", NF!A34, "")</f>
        <v/>
      </c>
      <c r="B36">
        <f>IF(A36&lt;&gt;"", NF!B34, "")</f>
        <v/>
      </c>
      <c r="C36">
        <f>IF(A36&lt;&gt;"", NF!C34, "")</f>
        <v/>
      </c>
      <c r="D36">
        <f>IF(A36&lt;&gt;"", NF!D34, "")</f>
        <v/>
      </c>
      <c r="E36">
        <f>IF(A36&lt;&gt;"", XLOOKUP(A36, Extrato!$D:$D, Extrato!$A:$A, ""), "")</f>
        <v/>
      </c>
      <c r="F36">
        <f>IF(A36&lt;&gt;"", XLOOKUP(A36, Extrato!$D:$D, Extrato!$B:$B, ""), "")</f>
        <v/>
      </c>
      <c r="G36">
        <f>IF(A36&lt;&gt;"", XLOOKUP(A36, Extrato!$D:$D, Extrato!$C:$C, ""), "")</f>
        <v/>
      </c>
      <c r="H36">
        <f>IF(A36="", "", IF(E36="", "Pendente", IF(C36=G36, "OK", "Valor divergente")))</f>
        <v/>
      </c>
    </row>
    <row r="37">
      <c r="A37">
        <f>IF(NF!A35&lt;&gt;"", NF!A35, "")</f>
        <v/>
      </c>
      <c r="B37">
        <f>IF(A37&lt;&gt;"", NF!B35, "")</f>
        <v/>
      </c>
      <c r="C37">
        <f>IF(A37&lt;&gt;"", NF!C35, "")</f>
        <v/>
      </c>
      <c r="D37">
        <f>IF(A37&lt;&gt;"", NF!D35, "")</f>
        <v/>
      </c>
      <c r="E37">
        <f>IF(A37&lt;&gt;"", XLOOKUP(A37, Extrato!$D:$D, Extrato!$A:$A, ""), "")</f>
        <v/>
      </c>
      <c r="F37">
        <f>IF(A37&lt;&gt;"", XLOOKUP(A37, Extrato!$D:$D, Extrato!$B:$B, ""), "")</f>
        <v/>
      </c>
      <c r="G37">
        <f>IF(A37&lt;&gt;"", XLOOKUP(A37, Extrato!$D:$D, Extrato!$C:$C, ""), "")</f>
        <v/>
      </c>
      <c r="H37">
        <f>IF(A37="", "", IF(E37="", "Pendente", IF(C37=G37, "OK", "Valor divergente")))</f>
        <v/>
      </c>
    </row>
    <row r="38">
      <c r="A38">
        <f>IF(NF!A36&lt;&gt;"", NF!A36, "")</f>
        <v/>
      </c>
      <c r="B38">
        <f>IF(A38&lt;&gt;"", NF!B36, "")</f>
        <v/>
      </c>
      <c r="C38">
        <f>IF(A38&lt;&gt;"", NF!C36, "")</f>
        <v/>
      </c>
      <c r="D38">
        <f>IF(A38&lt;&gt;"", NF!D36, "")</f>
        <v/>
      </c>
      <c r="E38">
        <f>IF(A38&lt;&gt;"", XLOOKUP(A38, Extrato!$D:$D, Extrato!$A:$A, ""), "")</f>
        <v/>
      </c>
      <c r="F38">
        <f>IF(A38&lt;&gt;"", XLOOKUP(A38, Extrato!$D:$D, Extrato!$B:$B, ""), "")</f>
        <v/>
      </c>
      <c r="G38">
        <f>IF(A38&lt;&gt;"", XLOOKUP(A38, Extrato!$D:$D, Extrato!$C:$C, ""), "")</f>
        <v/>
      </c>
      <c r="H38">
        <f>IF(A38="", "", IF(E38="", "Pendente", IF(C38=G38, "OK", "Valor divergente")))</f>
        <v/>
      </c>
    </row>
    <row r="39">
      <c r="A39">
        <f>IF(NF!A37&lt;&gt;"", NF!A37, "")</f>
        <v/>
      </c>
      <c r="B39">
        <f>IF(A39&lt;&gt;"", NF!B37, "")</f>
        <v/>
      </c>
      <c r="C39">
        <f>IF(A39&lt;&gt;"", NF!C37, "")</f>
        <v/>
      </c>
      <c r="D39">
        <f>IF(A39&lt;&gt;"", NF!D37, "")</f>
        <v/>
      </c>
      <c r="E39">
        <f>IF(A39&lt;&gt;"", XLOOKUP(A39, Extrato!$D:$D, Extrato!$A:$A, ""), "")</f>
        <v/>
      </c>
      <c r="F39">
        <f>IF(A39&lt;&gt;"", XLOOKUP(A39, Extrato!$D:$D, Extrato!$B:$B, ""), "")</f>
        <v/>
      </c>
      <c r="G39">
        <f>IF(A39&lt;&gt;"", XLOOKUP(A39, Extrato!$D:$D, Extrato!$C:$C, ""), "")</f>
        <v/>
      </c>
      <c r="H39">
        <f>IF(A39="", "", IF(E39="", "Pendente", IF(C39=G39, "OK", "Valor divergente")))</f>
        <v/>
      </c>
    </row>
    <row r="40">
      <c r="A40">
        <f>IF(NF!A38&lt;&gt;"", NF!A38, "")</f>
        <v/>
      </c>
      <c r="B40">
        <f>IF(A40&lt;&gt;"", NF!B38, "")</f>
        <v/>
      </c>
      <c r="C40">
        <f>IF(A40&lt;&gt;"", NF!C38, "")</f>
        <v/>
      </c>
      <c r="D40">
        <f>IF(A40&lt;&gt;"", NF!D38, "")</f>
        <v/>
      </c>
      <c r="E40">
        <f>IF(A40&lt;&gt;"", XLOOKUP(A40, Extrato!$D:$D, Extrato!$A:$A, ""), "")</f>
        <v/>
      </c>
      <c r="F40">
        <f>IF(A40&lt;&gt;"", XLOOKUP(A40, Extrato!$D:$D, Extrato!$B:$B, ""), "")</f>
        <v/>
      </c>
      <c r="G40">
        <f>IF(A40&lt;&gt;"", XLOOKUP(A40, Extrato!$D:$D, Extrato!$C:$C, ""), "")</f>
        <v/>
      </c>
      <c r="H40">
        <f>IF(A40="", "", IF(E40="", "Pendente", IF(C40=G40, "OK", "Valor divergente")))</f>
        <v/>
      </c>
    </row>
    <row r="41">
      <c r="A41">
        <f>IF(NF!A39&lt;&gt;"", NF!A39, "")</f>
        <v/>
      </c>
      <c r="B41">
        <f>IF(A41&lt;&gt;"", NF!B39, "")</f>
        <v/>
      </c>
      <c r="C41">
        <f>IF(A41&lt;&gt;"", NF!C39, "")</f>
        <v/>
      </c>
      <c r="D41">
        <f>IF(A41&lt;&gt;"", NF!D39, "")</f>
        <v/>
      </c>
      <c r="E41">
        <f>IF(A41&lt;&gt;"", XLOOKUP(A41, Extrato!$D:$D, Extrato!$A:$A, ""), "")</f>
        <v/>
      </c>
      <c r="F41">
        <f>IF(A41&lt;&gt;"", XLOOKUP(A41, Extrato!$D:$D, Extrato!$B:$B, ""), "")</f>
        <v/>
      </c>
      <c r="G41">
        <f>IF(A41&lt;&gt;"", XLOOKUP(A41, Extrato!$D:$D, Extrato!$C:$C, ""), "")</f>
        <v/>
      </c>
      <c r="H41">
        <f>IF(A41="", "", IF(E41="", "Pendente", IF(C41=G41, "OK", "Valor divergente")))</f>
        <v/>
      </c>
    </row>
    <row r="42">
      <c r="A42">
        <f>IF(NF!A40&lt;&gt;"", NF!A40, "")</f>
        <v/>
      </c>
      <c r="B42">
        <f>IF(A42&lt;&gt;"", NF!B40, "")</f>
        <v/>
      </c>
      <c r="C42">
        <f>IF(A42&lt;&gt;"", NF!C40, "")</f>
        <v/>
      </c>
      <c r="D42">
        <f>IF(A42&lt;&gt;"", NF!D40, "")</f>
        <v/>
      </c>
      <c r="E42">
        <f>IF(A42&lt;&gt;"", XLOOKUP(A42, Extrato!$D:$D, Extrato!$A:$A, ""), "")</f>
        <v/>
      </c>
      <c r="F42">
        <f>IF(A42&lt;&gt;"", XLOOKUP(A42, Extrato!$D:$D, Extrato!$B:$B, ""), "")</f>
        <v/>
      </c>
      <c r="G42">
        <f>IF(A42&lt;&gt;"", XLOOKUP(A42, Extrato!$D:$D, Extrato!$C:$C, ""), "")</f>
        <v/>
      </c>
      <c r="H42">
        <f>IF(A42="", "", IF(E42="", "Pendente", IF(C42=G42, "OK", "Valor divergente")))</f>
        <v/>
      </c>
    </row>
    <row r="43">
      <c r="A43">
        <f>IF(NF!A41&lt;&gt;"", NF!A41, "")</f>
        <v/>
      </c>
      <c r="B43">
        <f>IF(A43&lt;&gt;"", NF!B41, "")</f>
        <v/>
      </c>
      <c r="C43">
        <f>IF(A43&lt;&gt;"", NF!C41, "")</f>
        <v/>
      </c>
      <c r="D43">
        <f>IF(A43&lt;&gt;"", NF!D41, "")</f>
        <v/>
      </c>
      <c r="E43">
        <f>IF(A43&lt;&gt;"", XLOOKUP(A43, Extrato!$D:$D, Extrato!$A:$A, ""), "")</f>
        <v/>
      </c>
      <c r="F43">
        <f>IF(A43&lt;&gt;"", XLOOKUP(A43, Extrato!$D:$D, Extrato!$B:$B, ""), "")</f>
        <v/>
      </c>
      <c r="G43">
        <f>IF(A43&lt;&gt;"", XLOOKUP(A43, Extrato!$D:$D, Extrato!$C:$C, ""), "")</f>
        <v/>
      </c>
      <c r="H43">
        <f>IF(A43="", "", IF(E43="", "Pendente", IF(C43=G43, "OK", "Valor divergente")))</f>
        <v/>
      </c>
    </row>
    <row r="44">
      <c r="A44">
        <f>IF(NF!A42&lt;&gt;"", NF!A42, "")</f>
        <v/>
      </c>
      <c r="B44">
        <f>IF(A44&lt;&gt;"", NF!B42, "")</f>
        <v/>
      </c>
      <c r="C44">
        <f>IF(A44&lt;&gt;"", NF!C42, "")</f>
        <v/>
      </c>
      <c r="D44">
        <f>IF(A44&lt;&gt;"", NF!D42, "")</f>
        <v/>
      </c>
      <c r="E44">
        <f>IF(A44&lt;&gt;"", XLOOKUP(A44, Extrato!$D:$D, Extrato!$A:$A, ""), "")</f>
        <v/>
      </c>
      <c r="F44">
        <f>IF(A44&lt;&gt;"", XLOOKUP(A44, Extrato!$D:$D, Extrato!$B:$B, ""), "")</f>
        <v/>
      </c>
      <c r="G44">
        <f>IF(A44&lt;&gt;"", XLOOKUP(A44, Extrato!$D:$D, Extrato!$C:$C, ""), "")</f>
        <v/>
      </c>
      <c r="H44">
        <f>IF(A44="", "", IF(E44="", "Pendente", IF(C44=G44, "OK", "Valor divergente")))</f>
        <v/>
      </c>
    </row>
    <row r="45">
      <c r="A45">
        <f>IF(NF!A43&lt;&gt;"", NF!A43, "")</f>
        <v/>
      </c>
      <c r="B45">
        <f>IF(A45&lt;&gt;"", NF!B43, "")</f>
        <v/>
      </c>
      <c r="C45">
        <f>IF(A45&lt;&gt;"", NF!C43, "")</f>
        <v/>
      </c>
      <c r="D45">
        <f>IF(A45&lt;&gt;"", NF!D43, "")</f>
        <v/>
      </c>
      <c r="E45">
        <f>IF(A45&lt;&gt;"", XLOOKUP(A45, Extrato!$D:$D, Extrato!$A:$A, ""), "")</f>
        <v/>
      </c>
      <c r="F45">
        <f>IF(A45&lt;&gt;"", XLOOKUP(A45, Extrato!$D:$D, Extrato!$B:$B, ""), "")</f>
        <v/>
      </c>
      <c r="G45">
        <f>IF(A45&lt;&gt;"", XLOOKUP(A45, Extrato!$D:$D, Extrato!$C:$C, ""), "")</f>
        <v/>
      </c>
      <c r="H45">
        <f>IF(A45="", "", IF(E45="", "Pendente", IF(C45=G45, "OK", "Valor divergente")))</f>
        <v/>
      </c>
    </row>
    <row r="46">
      <c r="A46">
        <f>IF(NF!A44&lt;&gt;"", NF!A44, "")</f>
        <v/>
      </c>
      <c r="B46">
        <f>IF(A46&lt;&gt;"", NF!B44, "")</f>
        <v/>
      </c>
      <c r="C46">
        <f>IF(A46&lt;&gt;"", NF!C44, "")</f>
        <v/>
      </c>
      <c r="D46">
        <f>IF(A46&lt;&gt;"", NF!D44, "")</f>
        <v/>
      </c>
      <c r="E46">
        <f>IF(A46&lt;&gt;"", XLOOKUP(A46, Extrato!$D:$D, Extrato!$A:$A, ""), "")</f>
        <v/>
      </c>
      <c r="F46">
        <f>IF(A46&lt;&gt;"", XLOOKUP(A46, Extrato!$D:$D, Extrato!$B:$B, ""), "")</f>
        <v/>
      </c>
      <c r="G46">
        <f>IF(A46&lt;&gt;"", XLOOKUP(A46, Extrato!$D:$D, Extrato!$C:$C, ""), "")</f>
        <v/>
      </c>
      <c r="H46">
        <f>IF(A46="", "", IF(E46="", "Pendente", IF(C46=G46, "OK", "Valor divergente")))</f>
        <v/>
      </c>
    </row>
    <row r="47">
      <c r="A47">
        <f>IF(NF!A45&lt;&gt;"", NF!A45, "")</f>
        <v/>
      </c>
      <c r="B47">
        <f>IF(A47&lt;&gt;"", NF!B45, "")</f>
        <v/>
      </c>
      <c r="C47">
        <f>IF(A47&lt;&gt;"", NF!C45, "")</f>
        <v/>
      </c>
      <c r="D47">
        <f>IF(A47&lt;&gt;"", NF!D45, "")</f>
        <v/>
      </c>
      <c r="E47">
        <f>IF(A47&lt;&gt;"", XLOOKUP(A47, Extrato!$D:$D, Extrato!$A:$A, ""), "")</f>
        <v/>
      </c>
      <c r="F47">
        <f>IF(A47&lt;&gt;"", XLOOKUP(A47, Extrato!$D:$D, Extrato!$B:$B, ""), "")</f>
        <v/>
      </c>
      <c r="G47">
        <f>IF(A47&lt;&gt;"", XLOOKUP(A47, Extrato!$D:$D, Extrato!$C:$C, ""), "")</f>
        <v/>
      </c>
      <c r="H47">
        <f>IF(A47="", "", IF(E47="", "Pendente", IF(C47=G47, "OK", "Valor divergente")))</f>
        <v/>
      </c>
    </row>
    <row r="48">
      <c r="A48">
        <f>IF(NF!A46&lt;&gt;"", NF!A46, "")</f>
        <v/>
      </c>
      <c r="B48">
        <f>IF(A48&lt;&gt;"", NF!B46, "")</f>
        <v/>
      </c>
      <c r="C48">
        <f>IF(A48&lt;&gt;"", NF!C46, "")</f>
        <v/>
      </c>
      <c r="D48">
        <f>IF(A48&lt;&gt;"", NF!D46, "")</f>
        <v/>
      </c>
      <c r="E48">
        <f>IF(A48&lt;&gt;"", XLOOKUP(A48, Extrato!$D:$D, Extrato!$A:$A, ""), "")</f>
        <v/>
      </c>
      <c r="F48">
        <f>IF(A48&lt;&gt;"", XLOOKUP(A48, Extrato!$D:$D, Extrato!$B:$B, ""), "")</f>
        <v/>
      </c>
      <c r="G48">
        <f>IF(A48&lt;&gt;"", XLOOKUP(A48, Extrato!$D:$D, Extrato!$C:$C, ""), "")</f>
        <v/>
      </c>
      <c r="H48">
        <f>IF(A48="", "", IF(E48="", "Pendente", IF(C48=G48, "OK", "Valor divergente")))</f>
        <v/>
      </c>
    </row>
    <row r="49">
      <c r="A49">
        <f>IF(NF!A47&lt;&gt;"", NF!A47, "")</f>
        <v/>
      </c>
      <c r="B49">
        <f>IF(A49&lt;&gt;"", NF!B47, "")</f>
        <v/>
      </c>
      <c r="C49">
        <f>IF(A49&lt;&gt;"", NF!C47, "")</f>
        <v/>
      </c>
      <c r="D49">
        <f>IF(A49&lt;&gt;"", NF!D47, "")</f>
        <v/>
      </c>
      <c r="E49">
        <f>IF(A49&lt;&gt;"", XLOOKUP(A49, Extrato!$D:$D, Extrato!$A:$A, ""), "")</f>
        <v/>
      </c>
      <c r="F49">
        <f>IF(A49&lt;&gt;"", XLOOKUP(A49, Extrato!$D:$D, Extrato!$B:$B, ""), "")</f>
        <v/>
      </c>
      <c r="G49">
        <f>IF(A49&lt;&gt;"", XLOOKUP(A49, Extrato!$D:$D, Extrato!$C:$C, ""), "")</f>
        <v/>
      </c>
      <c r="H49">
        <f>IF(A49="", "", IF(E49="", "Pendente", IF(C49=G49, "OK", "Valor divergente")))</f>
        <v/>
      </c>
    </row>
    <row r="50">
      <c r="A50">
        <f>IF(NF!A48&lt;&gt;"", NF!A48, "")</f>
        <v/>
      </c>
      <c r="B50">
        <f>IF(A50&lt;&gt;"", NF!B48, "")</f>
        <v/>
      </c>
      <c r="C50">
        <f>IF(A50&lt;&gt;"", NF!C48, "")</f>
        <v/>
      </c>
      <c r="D50">
        <f>IF(A50&lt;&gt;"", NF!D48, "")</f>
        <v/>
      </c>
      <c r="E50">
        <f>IF(A50&lt;&gt;"", XLOOKUP(A50, Extrato!$D:$D, Extrato!$A:$A, ""), "")</f>
        <v/>
      </c>
      <c r="F50">
        <f>IF(A50&lt;&gt;"", XLOOKUP(A50, Extrato!$D:$D, Extrato!$B:$B, ""), "")</f>
        <v/>
      </c>
      <c r="G50">
        <f>IF(A50&lt;&gt;"", XLOOKUP(A50, Extrato!$D:$D, Extrato!$C:$C, ""), "")</f>
        <v/>
      </c>
      <c r="H50">
        <f>IF(A50="", "", IF(E50="", "Pendente", IF(C50=G50, "OK", "Valor divergente")))</f>
        <v/>
      </c>
    </row>
    <row r="51">
      <c r="A51">
        <f>IF(NF!A49&lt;&gt;"", NF!A49, "")</f>
        <v/>
      </c>
      <c r="B51">
        <f>IF(A51&lt;&gt;"", NF!B49, "")</f>
        <v/>
      </c>
      <c r="C51">
        <f>IF(A51&lt;&gt;"", NF!C49, "")</f>
        <v/>
      </c>
      <c r="D51">
        <f>IF(A51&lt;&gt;"", NF!D49, "")</f>
        <v/>
      </c>
      <c r="E51">
        <f>IF(A51&lt;&gt;"", XLOOKUP(A51, Extrato!$D:$D, Extrato!$A:$A, ""), "")</f>
        <v/>
      </c>
      <c r="F51">
        <f>IF(A51&lt;&gt;"", XLOOKUP(A51, Extrato!$D:$D, Extrato!$B:$B, ""), "")</f>
        <v/>
      </c>
      <c r="G51">
        <f>IF(A51&lt;&gt;"", XLOOKUP(A51, Extrato!$D:$D, Extrato!$C:$C, ""), "")</f>
        <v/>
      </c>
      <c r="H51">
        <f>IF(A51="", "", IF(E51="", "Pendente", IF(C51=G51, "OK", "Valor divergente")))</f>
        <v/>
      </c>
    </row>
    <row r="52">
      <c r="A52">
        <f>IF(NF!A50&lt;&gt;"", NF!A50, "")</f>
        <v/>
      </c>
      <c r="B52">
        <f>IF(A52&lt;&gt;"", NF!B50, "")</f>
        <v/>
      </c>
      <c r="C52">
        <f>IF(A52&lt;&gt;"", NF!C50, "")</f>
        <v/>
      </c>
      <c r="D52">
        <f>IF(A52&lt;&gt;"", NF!D50, "")</f>
        <v/>
      </c>
      <c r="E52">
        <f>IF(A52&lt;&gt;"", XLOOKUP(A52, Extrato!$D:$D, Extrato!$A:$A, ""), "")</f>
        <v/>
      </c>
      <c r="F52">
        <f>IF(A52&lt;&gt;"", XLOOKUP(A52, Extrato!$D:$D, Extrato!$B:$B, ""), "")</f>
        <v/>
      </c>
      <c r="G52">
        <f>IF(A52&lt;&gt;"", XLOOKUP(A52, Extrato!$D:$D, Extrato!$C:$C, ""), "")</f>
        <v/>
      </c>
      <c r="H52">
        <f>IF(A52="", "", IF(E52="", "Pendente", IF(C52=G52, "OK", "Valor divergente")))</f>
        <v/>
      </c>
    </row>
    <row r="53">
      <c r="A53">
        <f>IF(NF!A51&lt;&gt;"", NF!A51, "")</f>
        <v/>
      </c>
      <c r="B53">
        <f>IF(A53&lt;&gt;"", NF!B51, "")</f>
        <v/>
      </c>
      <c r="C53">
        <f>IF(A53&lt;&gt;"", NF!C51, "")</f>
        <v/>
      </c>
      <c r="D53">
        <f>IF(A53&lt;&gt;"", NF!D51, "")</f>
        <v/>
      </c>
      <c r="E53">
        <f>IF(A53&lt;&gt;"", XLOOKUP(A53, Extrato!$D:$D, Extrato!$A:$A, ""), "")</f>
        <v/>
      </c>
      <c r="F53">
        <f>IF(A53&lt;&gt;"", XLOOKUP(A53, Extrato!$D:$D, Extrato!$B:$B, ""), "")</f>
        <v/>
      </c>
      <c r="G53">
        <f>IF(A53&lt;&gt;"", XLOOKUP(A53, Extrato!$D:$D, Extrato!$C:$C, ""), "")</f>
        <v/>
      </c>
      <c r="H53">
        <f>IF(A53="", "", IF(E53="", "Pendente", IF(C53=G53, "OK", "Valor divergente")))</f>
        <v/>
      </c>
    </row>
    <row r="54">
      <c r="A54">
        <f>IF(NF!A52&lt;&gt;"", NF!A52, "")</f>
        <v/>
      </c>
      <c r="B54">
        <f>IF(A54&lt;&gt;"", NF!B52, "")</f>
        <v/>
      </c>
      <c r="C54">
        <f>IF(A54&lt;&gt;"", NF!C52, "")</f>
        <v/>
      </c>
      <c r="D54">
        <f>IF(A54&lt;&gt;"", NF!D52, "")</f>
        <v/>
      </c>
      <c r="E54">
        <f>IF(A54&lt;&gt;"", XLOOKUP(A54, Extrato!$D:$D, Extrato!$A:$A, ""), "")</f>
        <v/>
      </c>
      <c r="F54">
        <f>IF(A54&lt;&gt;"", XLOOKUP(A54, Extrato!$D:$D, Extrato!$B:$B, ""), "")</f>
        <v/>
      </c>
      <c r="G54">
        <f>IF(A54&lt;&gt;"", XLOOKUP(A54, Extrato!$D:$D, Extrato!$C:$C, ""), "")</f>
        <v/>
      </c>
      <c r="H54">
        <f>IF(A54="", "", IF(E54="", "Pendente", IF(C54=G54, "OK", "Valor divergente")))</f>
        <v/>
      </c>
    </row>
    <row r="55">
      <c r="A55">
        <f>IF(NF!A53&lt;&gt;"", NF!A53, "")</f>
        <v/>
      </c>
      <c r="B55">
        <f>IF(A55&lt;&gt;"", NF!B53, "")</f>
        <v/>
      </c>
      <c r="C55">
        <f>IF(A55&lt;&gt;"", NF!C53, "")</f>
        <v/>
      </c>
      <c r="D55">
        <f>IF(A55&lt;&gt;"", NF!D53, "")</f>
        <v/>
      </c>
      <c r="E55">
        <f>IF(A55&lt;&gt;"", XLOOKUP(A55, Extrato!$D:$D, Extrato!$A:$A, ""), "")</f>
        <v/>
      </c>
      <c r="F55">
        <f>IF(A55&lt;&gt;"", XLOOKUP(A55, Extrato!$D:$D, Extrato!$B:$B, ""), "")</f>
        <v/>
      </c>
      <c r="G55">
        <f>IF(A55&lt;&gt;"", XLOOKUP(A55, Extrato!$D:$D, Extrato!$C:$C, ""), "")</f>
        <v/>
      </c>
      <c r="H55">
        <f>IF(A55="", "", IF(E55="", "Pendente", IF(C55=G55, "OK", "Valor divergente")))</f>
        <v/>
      </c>
    </row>
    <row r="56">
      <c r="A56">
        <f>IF(NF!A54&lt;&gt;"", NF!A54, "")</f>
        <v/>
      </c>
      <c r="B56">
        <f>IF(A56&lt;&gt;"", NF!B54, "")</f>
        <v/>
      </c>
      <c r="C56">
        <f>IF(A56&lt;&gt;"", NF!C54, "")</f>
        <v/>
      </c>
      <c r="D56">
        <f>IF(A56&lt;&gt;"", NF!D54, "")</f>
        <v/>
      </c>
      <c r="E56">
        <f>IF(A56&lt;&gt;"", XLOOKUP(A56, Extrato!$D:$D, Extrato!$A:$A, ""), "")</f>
        <v/>
      </c>
      <c r="F56">
        <f>IF(A56&lt;&gt;"", XLOOKUP(A56, Extrato!$D:$D, Extrato!$B:$B, ""), "")</f>
        <v/>
      </c>
      <c r="G56">
        <f>IF(A56&lt;&gt;"", XLOOKUP(A56, Extrato!$D:$D, Extrato!$C:$C, ""), "")</f>
        <v/>
      </c>
      <c r="H56">
        <f>IF(A56="", "", IF(E56="", "Pendente", IF(C56=G56, "OK", "Valor divergente")))</f>
        <v/>
      </c>
    </row>
    <row r="57">
      <c r="A57">
        <f>IF(NF!A55&lt;&gt;"", NF!A55, "")</f>
        <v/>
      </c>
      <c r="B57">
        <f>IF(A57&lt;&gt;"", NF!B55, "")</f>
        <v/>
      </c>
      <c r="C57">
        <f>IF(A57&lt;&gt;"", NF!C55, "")</f>
        <v/>
      </c>
      <c r="D57">
        <f>IF(A57&lt;&gt;"", NF!D55, "")</f>
        <v/>
      </c>
      <c r="E57">
        <f>IF(A57&lt;&gt;"", XLOOKUP(A57, Extrato!$D:$D, Extrato!$A:$A, ""), "")</f>
        <v/>
      </c>
      <c r="F57">
        <f>IF(A57&lt;&gt;"", XLOOKUP(A57, Extrato!$D:$D, Extrato!$B:$B, ""), "")</f>
        <v/>
      </c>
      <c r="G57">
        <f>IF(A57&lt;&gt;"", XLOOKUP(A57, Extrato!$D:$D, Extrato!$C:$C, ""), "")</f>
        <v/>
      </c>
      <c r="H57">
        <f>IF(A57="", "", IF(E57="", "Pendente", IF(C57=G57, "OK", "Valor divergente")))</f>
        <v/>
      </c>
    </row>
    <row r="58">
      <c r="A58">
        <f>IF(NF!A56&lt;&gt;"", NF!A56, "")</f>
        <v/>
      </c>
      <c r="B58">
        <f>IF(A58&lt;&gt;"", NF!B56, "")</f>
        <v/>
      </c>
      <c r="C58">
        <f>IF(A58&lt;&gt;"", NF!C56, "")</f>
        <v/>
      </c>
      <c r="D58">
        <f>IF(A58&lt;&gt;"", NF!D56, "")</f>
        <v/>
      </c>
      <c r="E58">
        <f>IF(A58&lt;&gt;"", XLOOKUP(A58, Extrato!$D:$D, Extrato!$A:$A, ""), "")</f>
        <v/>
      </c>
      <c r="F58">
        <f>IF(A58&lt;&gt;"", XLOOKUP(A58, Extrato!$D:$D, Extrato!$B:$B, ""), "")</f>
        <v/>
      </c>
      <c r="G58">
        <f>IF(A58&lt;&gt;"", XLOOKUP(A58, Extrato!$D:$D, Extrato!$C:$C, ""), "")</f>
        <v/>
      </c>
      <c r="H58">
        <f>IF(A58="", "", IF(E58="", "Pendente", IF(C58=G58, "OK", "Valor divergente")))</f>
        <v/>
      </c>
    </row>
    <row r="59">
      <c r="A59">
        <f>IF(NF!A57&lt;&gt;"", NF!A57, "")</f>
        <v/>
      </c>
      <c r="B59">
        <f>IF(A59&lt;&gt;"", NF!B57, "")</f>
        <v/>
      </c>
      <c r="C59">
        <f>IF(A59&lt;&gt;"", NF!C57, "")</f>
        <v/>
      </c>
      <c r="D59">
        <f>IF(A59&lt;&gt;"", NF!D57, "")</f>
        <v/>
      </c>
      <c r="E59">
        <f>IF(A59&lt;&gt;"", XLOOKUP(A59, Extrato!$D:$D, Extrato!$A:$A, ""), "")</f>
        <v/>
      </c>
      <c r="F59">
        <f>IF(A59&lt;&gt;"", XLOOKUP(A59, Extrato!$D:$D, Extrato!$B:$B, ""), "")</f>
        <v/>
      </c>
      <c r="G59">
        <f>IF(A59&lt;&gt;"", XLOOKUP(A59, Extrato!$D:$D, Extrato!$C:$C, ""), "")</f>
        <v/>
      </c>
      <c r="H59">
        <f>IF(A59="", "", IF(E59="", "Pendente", IF(C59=G59, "OK", "Valor divergente")))</f>
        <v/>
      </c>
    </row>
    <row r="60">
      <c r="A60">
        <f>IF(NF!A58&lt;&gt;"", NF!A58, "")</f>
        <v/>
      </c>
      <c r="B60">
        <f>IF(A60&lt;&gt;"", NF!B58, "")</f>
        <v/>
      </c>
      <c r="C60">
        <f>IF(A60&lt;&gt;"", NF!C58, "")</f>
        <v/>
      </c>
      <c r="D60">
        <f>IF(A60&lt;&gt;"", NF!D58, "")</f>
        <v/>
      </c>
      <c r="E60">
        <f>IF(A60&lt;&gt;"", XLOOKUP(A60, Extrato!$D:$D, Extrato!$A:$A, ""), "")</f>
        <v/>
      </c>
      <c r="F60">
        <f>IF(A60&lt;&gt;"", XLOOKUP(A60, Extrato!$D:$D, Extrato!$B:$B, ""), "")</f>
        <v/>
      </c>
      <c r="G60">
        <f>IF(A60&lt;&gt;"", XLOOKUP(A60, Extrato!$D:$D, Extrato!$C:$C, ""), "")</f>
        <v/>
      </c>
      <c r="H60">
        <f>IF(A60="", "", IF(E60="", "Pendente", IF(C60=G60, "OK", "Valor divergente")))</f>
        <v/>
      </c>
    </row>
    <row r="61">
      <c r="A61">
        <f>IF(NF!A59&lt;&gt;"", NF!A59, "")</f>
        <v/>
      </c>
      <c r="B61">
        <f>IF(A61&lt;&gt;"", NF!B59, "")</f>
        <v/>
      </c>
      <c r="C61">
        <f>IF(A61&lt;&gt;"", NF!C59, "")</f>
        <v/>
      </c>
      <c r="D61">
        <f>IF(A61&lt;&gt;"", NF!D59, "")</f>
        <v/>
      </c>
      <c r="E61">
        <f>IF(A61&lt;&gt;"", XLOOKUP(A61, Extrato!$D:$D, Extrato!$A:$A, ""), "")</f>
        <v/>
      </c>
      <c r="F61">
        <f>IF(A61&lt;&gt;"", XLOOKUP(A61, Extrato!$D:$D, Extrato!$B:$B, ""), "")</f>
        <v/>
      </c>
      <c r="G61">
        <f>IF(A61&lt;&gt;"", XLOOKUP(A61, Extrato!$D:$D, Extrato!$C:$C, ""), "")</f>
        <v/>
      </c>
      <c r="H61">
        <f>IF(A61="", "", IF(E61="", "Pendente", IF(C61=G61, "OK", "Valor divergente")))</f>
        <v/>
      </c>
    </row>
    <row r="62">
      <c r="A62">
        <f>IF(NF!A60&lt;&gt;"", NF!A60, "")</f>
        <v/>
      </c>
      <c r="B62">
        <f>IF(A62&lt;&gt;"", NF!B60, "")</f>
        <v/>
      </c>
      <c r="C62">
        <f>IF(A62&lt;&gt;"", NF!C60, "")</f>
        <v/>
      </c>
      <c r="D62">
        <f>IF(A62&lt;&gt;"", NF!D60, "")</f>
        <v/>
      </c>
      <c r="E62">
        <f>IF(A62&lt;&gt;"", XLOOKUP(A62, Extrato!$D:$D, Extrato!$A:$A, ""), "")</f>
        <v/>
      </c>
      <c r="F62">
        <f>IF(A62&lt;&gt;"", XLOOKUP(A62, Extrato!$D:$D, Extrato!$B:$B, ""), "")</f>
        <v/>
      </c>
      <c r="G62">
        <f>IF(A62&lt;&gt;"", XLOOKUP(A62, Extrato!$D:$D, Extrato!$C:$C, ""), "")</f>
        <v/>
      </c>
      <c r="H62">
        <f>IF(A62="", "", IF(E62="", "Pendente", IF(C62=G62, "OK", "Valor divergente")))</f>
        <v/>
      </c>
    </row>
    <row r="63">
      <c r="A63">
        <f>IF(NF!A61&lt;&gt;"", NF!A61, "")</f>
        <v/>
      </c>
      <c r="B63">
        <f>IF(A63&lt;&gt;"", NF!B61, "")</f>
        <v/>
      </c>
      <c r="C63">
        <f>IF(A63&lt;&gt;"", NF!C61, "")</f>
        <v/>
      </c>
      <c r="D63">
        <f>IF(A63&lt;&gt;"", NF!D61, "")</f>
        <v/>
      </c>
      <c r="E63">
        <f>IF(A63&lt;&gt;"", XLOOKUP(A63, Extrato!$D:$D, Extrato!$A:$A, ""), "")</f>
        <v/>
      </c>
      <c r="F63">
        <f>IF(A63&lt;&gt;"", XLOOKUP(A63, Extrato!$D:$D, Extrato!$B:$B, ""), "")</f>
        <v/>
      </c>
      <c r="G63">
        <f>IF(A63&lt;&gt;"", XLOOKUP(A63, Extrato!$D:$D, Extrato!$C:$C, ""), "")</f>
        <v/>
      </c>
      <c r="H63">
        <f>IF(A63="", "", IF(E63="", "Pendente", IF(C63=G63, "OK", "Valor divergente")))</f>
        <v/>
      </c>
    </row>
    <row r="64">
      <c r="A64">
        <f>IF(NF!A62&lt;&gt;"", NF!A62, "")</f>
        <v/>
      </c>
      <c r="B64">
        <f>IF(A64&lt;&gt;"", NF!B62, "")</f>
        <v/>
      </c>
      <c r="C64">
        <f>IF(A64&lt;&gt;"", NF!C62, "")</f>
        <v/>
      </c>
      <c r="D64">
        <f>IF(A64&lt;&gt;"", NF!D62, "")</f>
        <v/>
      </c>
      <c r="E64">
        <f>IF(A64&lt;&gt;"", XLOOKUP(A64, Extrato!$D:$D, Extrato!$A:$A, ""), "")</f>
        <v/>
      </c>
      <c r="F64">
        <f>IF(A64&lt;&gt;"", XLOOKUP(A64, Extrato!$D:$D, Extrato!$B:$B, ""), "")</f>
        <v/>
      </c>
      <c r="G64">
        <f>IF(A64&lt;&gt;"", XLOOKUP(A64, Extrato!$D:$D, Extrato!$C:$C, ""), "")</f>
        <v/>
      </c>
      <c r="H64">
        <f>IF(A64="", "", IF(E64="", "Pendente", IF(C64=G64, "OK", "Valor divergente")))</f>
        <v/>
      </c>
    </row>
    <row r="65">
      <c r="A65">
        <f>IF(NF!A63&lt;&gt;"", NF!A63, "")</f>
        <v/>
      </c>
      <c r="B65">
        <f>IF(A65&lt;&gt;"", NF!B63, "")</f>
        <v/>
      </c>
      <c r="C65">
        <f>IF(A65&lt;&gt;"", NF!C63, "")</f>
        <v/>
      </c>
      <c r="D65">
        <f>IF(A65&lt;&gt;"", NF!D63, "")</f>
        <v/>
      </c>
      <c r="E65">
        <f>IF(A65&lt;&gt;"", XLOOKUP(A65, Extrato!$D:$D, Extrato!$A:$A, ""), "")</f>
        <v/>
      </c>
      <c r="F65">
        <f>IF(A65&lt;&gt;"", XLOOKUP(A65, Extrato!$D:$D, Extrato!$B:$B, ""), "")</f>
        <v/>
      </c>
      <c r="G65">
        <f>IF(A65&lt;&gt;"", XLOOKUP(A65, Extrato!$D:$D, Extrato!$C:$C, ""), "")</f>
        <v/>
      </c>
      <c r="H65">
        <f>IF(A65="", "", IF(E65="", "Pendente", IF(C65=G65, "OK", "Valor divergente")))</f>
        <v/>
      </c>
    </row>
    <row r="66">
      <c r="A66">
        <f>IF(NF!A64&lt;&gt;"", NF!A64, "")</f>
        <v/>
      </c>
      <c r="B66">
        <f>IF(A66&lt;&gt;"", NF!B64, "")</f>
        <v/>
      </c>
      <c r="C66">
        <f>IF(A66&lt;&gt;"", NF!C64, "")</f>
        <v/>
      </c>
      <c r="D66">
        <f>IF(A66&lt;&gt;"", NF!D64, "")</f>
        <v/>
      </c>
      <c r="E66">
        <f>IF(A66&lt;&gt;"", XLOOKUP(A66, Extrato!$D:$D, Extrato!$A:$A, ""), "")</f>
        <v/>
      </c>
      <c r="F66">
        <f>IF(A66&lt;&gt;"", XLOOKUP(A66, Extrato!$D:$D, Extrato!$B:$B, ""), "")</f>
        <v/>
      </c>
      <c r="G66">
        <f>IF(A66&lt;&gt;"", XLOOKUP(A66, Extrato!$D:$D, Extrato!$C:$C, ""), "")</f>
        <v/>
      </c>
      <c r="H66">
        <f>IF(A66="", "", IF(E66="", "Pendente", IF(C66=G66, "OK", "Valor divergente")))</f>
        <v/>
      </c>
    </row>
    <row r="67">
      <c r="A67">
        <f>IF(NF!A65&lt;&gt;"", NF!A65, "")</f>
        <v/>
      </c>
      <c r="B67">
        <f>IF(A67&lt;&gt;"", NF!B65, "")</f>
        <v/>
      </c>
      <c r="C67">
        <f>IF(A67&lt;&gt;"", NF!C65, "")</f>
        <v/>
      </c>
      <c r="D67">
        <f>IF(A67&lt;&gt;"", NF!D65, "")</f>
        <v/>
      </c>
      <c r="E67">
        <f>IF(A67&lt;&gt;"", XLOOKUP(A67, Extrato!$D:$D, Extrato!$A:$A, ""), "")</f>
        <v/>
      </c>
      <c r="F67">
        <f>IF(A67&lt;&gt;"", XLOOKUP(A67, Extrato!$D:$D, Extrato!$B:$B, ""), "")</f>
        <v/>
      </c>
      <c r="G67">
        <f>IF(A67&lt;&gt;"", XLOOKUP(A67, Extrato!$D:$D, Extrato!$C:$C, ""), "")</f>
        <v/>
      </c>
      <c r="H67">
        <f>IF(A67="", "", IF(E67="", "Pendente", IF(C67=G67, "OK", "Valor divergente")))</f>
        <v/>
      </c>
    </row>
    <row r="68">
      <c r="A68">
        <f>IF(NF!A66&lt;&gt;"", NF!A66, "")</f>
        <v/>
      </c>
      <c r="B68">
        <f>IF(A68&lt;&gt;"", NF!B66, "")</f>
        <v/>
      </c>
      <c r="C68">
        <f>IF(A68&lt;&gt;"", NF!C66, "")</f>
        <v/>
      </c>
      <c r="D68">
        <f>IF(A68&lt;&gt;"", NF!D66, "")</f>
        <v/>
      </c>
      <c r="E68">
        <f>IF(A68&lt;&gt;"", XLOOKUP(A68, Extrato!$D:$D, Extrato!$A:$A, ""), "")</f>
        <v/>
      </c>
      <c r="F68">
        <f>IF(A68&lt;&gt;"", XLOOKUP(A68, Extrato!$D:$D, Extrato!$B:$B, ""), "")</f>
        <v/>
      </c>
      <c r="G68">
        <f>IF(A68&lt;&gt;"", XLOOKUP(A68, Extrato!$D:$D, Extrato!$C:$C, ""), "")</f>
        <v/>
      </c>
      <c r="H68">
        <f>IF(A68="", "", IF(E68="", "Pendente", IF(C68=G68, "OK", "Valor divergente")))</f>
        <v/>
      </c>
    </row>
    <row r="69">
      <c r="A69">
        <f>IF(NF!A67&lt;&gt;"", NF!A67, "")</f>
        <v/>
      </c>
      <c r="B69">
        <f>IF(A69&lt;&gt;"", NF!B67, "")</f>
        <v/>
      </c>
      <c r="C69">
        <f>IF(A69&lt;&gt;"", NF!C67, "")</f>
        <v/>
      </c>
      <c r="D69">
        <f>IF(A69&lt;&gt;"", NF!D67, "")</f>
        <v/>
      </c>
      <c r="E69">
        <f>IF(A69&lt;&gt;"", XLOOKUP(A69, Extrato!$D:$D, Extrato!$A:$A, ""), "")</f>
        <v/>
      </c>
      <c r="F69">
        <f>IF(A69&lt;&gt;"", XLOOKUP(A69, Extrato!$D:$D, Extrato!$B:$B, ""), "")</f>
        <v/>
      </c>
      <c r="G69">
        <f>IF(A69&lt;&gt;"", XLOOKUP(A69, Extrato!$D:$D, Extrato!$C:$C, ""), "")</f>
        <v/>
      </c>
      <c r="H69">
        <f>IF(A69="", "", IF(E69="", "Pendente", IF(C69=G69, "OK", "Valor divergente")))</f>
        <v/>
      </c>
    </row>
    <row r="70">
      <c r="A70">
        <f>IF(NF!A68&lt;&gt;"", NF!A68, "")</f>
        <v/>
      </c>
      <c r="B70">
        <f>IF(A70&lt;&gt;"", NF!B68, "")</f>
        <v/>
      </c>
      <c r="C70">
        <f>IF(A70&lt;&gt;"", NF!C68, "")</f>
        <v/>
      </c>
      <c r="D70">
        <f>IF(A70&lt;&gt;"", NF!D68, "")</f>
        <v/>
      </c>
      <c r="E70">
        <f>IF(A70&lt;&gt;"", XLOOKUP(A70, Extrato!$D:$D, Extrato!$A:$A, ""), "")</f>
        <v/>
      </c>
      <c r="F70">
        <f>IF(A70&lt;&gt;"", XLOOKUP(A70, Extrato!$D:$D, Extrato!$B:$B, ""), "")</f>
        <v/>
      </c>
      <c r="G70">
        <f>IF(A70&lt;&gt;"", XLOOKUP(A70, Extrato!$D:$D, Extrato!$C:$C, ""), "")</f>
        <v/>
      </c>
      <c r="H70">
        <f>IF(A70="", "", IF(E70="", "Pendente", IF(C70=G70, "OK", "Valor divergente")))</f>
        <v/>
      </c>
    </row>
    <row r="71">
      <c r="A71">
        <f>IF(NF!A69&lt;&gt;"", NF!A69, "")</f>
        <v/>
      </c>
      <c r="B71">
        <f>IF(A71&lt;&gt;"", NF!B69, "")</f>
        <v/>
      </c>
      <c r="C71">
        <f>IF(A71&lt;&gt;"", NF!C69, "")</f>
        <v/>
      </c>
      <c r="D71">
        <f>IF(A71&lt;&gt;"", NF!D69, "")</f>
        <v/>
      </c>
      <c r="E71">
        <f>IF(A71&lt;&gt;"", XLOOKUP(A71, Extrato!$D:$D, Extrato!$A:$A, ""), "")</f>
        <v/>
      </c>
      <c r="F71">
        <f>IF(A71&lt;&gt;"", XLOOKUP(A71, Extrato!$D:$D, Extrato!$B:$B, ""), "")</f>
        <v/>
      </c>
      <c r="G71">
        <f>IF(A71&lt;&gt;"", XLOOKUP(A71, Extrato!$D:$D, Extrato!$C:$C, ""), "")</f>
        <v/>
      </c>
      <c r="H71">
        <f>IF(A71="", "", IF(E71="", "Pendente", IF(C71=G71, "OK", "Valor divergente")))</f>
        <v/>
      </c>
    </row>
    <row r="72">
      <c r="A72">
        <f>IF(NF!A70&lt;&gt;"", NF!A70, "")</f>
        <v/>
      </c>
      <c r="B72">
        <f>IF(A72&lt;&gt;"", NF!B70, "")</f>
        <v/>
      </c>
      <c r="C72">
        <f>IF(A72&lt;&gt;"", NF!C70, "")</f>
        <v/>
      </c>
      <c r="D72">
        <f>IF(A72&lt;&gt;"", NF!D70, "")</f>
        <v/>
      </c>
      <c r="E72">
        <f>IF(A72&lt;&gt;"", XLOOKUP(A72, Extrato!$D:$D, Extrato!$A:$A, ""), "")</f>
        <v/>
      </c>
      <c r="F72">
        <f>IF(A72&lt;&gt;"", XLOOKUP(A72, Extrato!$D:$D, Extrato!$B:$B, ""), "")</f>
        <v/>
      </c>
      <c r="G72">
        <f>IF(A72&lt;&gt;"", XLOOKUP(A72, Extrato!$D:$D, Extrato!$C:$C, ""), "")</f>
        <v/>
      </c>
      <c r="H72">
        <f>IF(A72="", "", IF(E72="", "Pendente", IF(C72=G72, "OK", "Valor divergente")))</f>
        <v/>
      </c>
    </row>
    <row r="73">
      <c r="A73">
        <f>IF(NF!A71&lt;&gt;"", NF!A71, "")</f>
        <v/>
      </c>
      <c r="B73">
        <f>IF(A73&lt;&gt;"", NF!B71, "")</f>
        <v/>
      </c>
      <c r="C73">
        <f>IF(A73&lt;&gt;"", NF!C71, "")</f>
        <v/>
      </c>
      <c r="D73">
        <f>IF(A73&lt;&gt;"", NF!D71, "")</f>
        <v/>
      </c>
      <c r="E73">
        <f>IF(A73&lt;&gt;"", XLOOKUP(A73, Extrato!$D:$D, Extrato!$A:$A, ""), "")</f>
        <v/>
      </c>
      <c r="F73">
        <f>IF(A73&lt;&gt;"", XLOOKUP(A73, Extrato!$D:$D, Extrato!$B:$B, ""), "")</f>
        <v/>
      </c>
      <c r="G73">
        <f>IF(A73&lt;&gt;"", XLOOKUP(A73, Extrato!$D:$D, Extrato!$C:$C, ""), "")</f>
        <v/>
      </c>
      <c r="H73">
        <f>IF(A73="", "", IF(E73="", "Pendente", IF(C73=G73, "OK", "Valor divergente")))</f>
        <v/>
      </c>
    </row>
    <row r="74">
      <c r="A74">
        <f>IF(NF!A72&lt;&gt;"", NF!A72, "")</f>
        <v/>
      </c>
      <c r="B74">
        <f>IF(A74&lt;&gt;"", NF!B72, "")</f>
        <v/>
      </c>
      <c r="C74">
        <f>IF(A74&lt;&gt;"", NF!C72, "")</f>
        <v/>
      </c>
      <c r="D74">
        <f>IF(A74&lt;&gt;"", NF!D72, "")</f>
        <v/>
      </c>
      <c r="E74">
        <f>IF(A74&lt;&gt;"", XLOOKUP(A74, Extrato!$D:$D, Extrato!$A:$A, ""), "")</f>
        <v/>
      </c>
      <c r="F74">
        <f>IF(A74&lt;&gt;"", XLOOKUP(A74, Extrato!$D:$D, Extrato!$B:$B, ""), "")</f>
        <v/>
      </c>
      <c r="G74">
        <f>IF(A74&lt;&gt;"", XLOOKUP(A74, Extrato!$D:$D, Extrato!$C:$C, ""), "")</f>
        <v/>
      </c>
      <c r="H74">
        <f>IF(A74="", "", IF(E74="", "Pendente", IF(C74=G74, "OK", "Valor divergente")))</f>
        <v/>
      </c>
    </row>
    <row r="75">
      <c r="A75">
        <f>IF(NF!A73&lt;&gt;"", NF!A73, "")</f>
        <v/>
      </c>
      <c r="B75">
        <f>IF(A75&lt;&gt;"", NF!B73, "")</f>
        <v/>
      </c>
      <c r="C75">
        <f>IF(A75&lt;&gt;"", NF!C73, "")</f>
        <v/>
      </c>
      <c r="D75">
        <f>IF(A75&lt;&gt;"", NF!D73, "")</f>
        <v/>
      </c>
      <c r="E75">
        <f>IF(A75&lt;&gt;"", XLOOKUP(A75, Extrato!$D:$D, Extrato!$A:$A, ""), "")</f>
        <v/>
      </c>
      <c r="F75">
        <f>IF(A75&lt;&gt;"", XLOOKUP(A75, Extrato!$D:$D, Extrato!$B:$B, ""), "")</f>
        <v/>
      </c>
      <c r="G75">
        <f>IF(A75&lt;&gt;"", XLOOKUP(A75, Extrato!$D:$D, Extrato!$C:$C, ""), "")</f>
        <v/>
      </c>
      <c r="H75">
        <f>IF(A75="", "", IF(E75="", "Pendente", IF(C75=G75, "OK", "Valor divergente")))</f>
        <v/>
      </c>
    </row>
    <row r="76">
      <c r="A76">
        <f>IF(NF!A74&lt;&gt;"", NF!A74, "")</f>
        <v/>
      </c>
      <c r="B76">
        <f>IF(A76&lt;&gt;"", NF!B74, "")</f>
        <v/>
      </c>
      <c r="C76">
        <f>IF(A76&lt;&gt;"", NF!C74, "")</f>
        <v/>
      </c>
      <c r="D76">
        <f>IF(A76&lt;&gt;"", NF!D74, "")</f>
        <v/>
      </c>
      <c r="E76">
        <f>IF(A76&lt;&gt;"", XLOOKUP(A76, Extrato!$D:$D, Extrato!$A:$A, ""), "")</f>
        <v/>
      </c>
      <c r="F76">
        <f>IF(A76&lt;&gt;"", XLOOKUP(A76, Extrato!$D:$D, Extrato!$B:$B, ""), "")</f>
        <v/>
      </c>
      <c r="G76">
        <f>IF(A76&lt;&gt;"", XLOOKUP(A76, Extrato!$D:$D, Extrato!$C:$C, ""), "")</f>
        <v/>
      </c>
      <c r="H76">
        <f>IF(A76="", "", IF(E76="", "Pendente", IF(C76=G76, "OK", "Valor divergente")))</f>
        <v/>
      </c>
    </row>
    <row r="77">
      <c r="A77">
        <f>IF(NF!A75&lt;&gt;"", NF!A75, "")</f>
        <v/>
      </c>
      <c r="B77">
        <f>IF(A77&lt;&gt;"", NF!B75, "")</f>
        <v/>
      </c>
      <c r="C77">
        <f>IF(A77&lt;&gt;"", NF!C75, "")</f>
        <v/>
      </c>
      <c r="D77">
        <f>IF(A77&lt;&gt;"", NF!D75, "")</f>
        <v/>
      </c>
      <c r="E77">
        <f>IF(A77&lt;&gt;"", XLOOKUP(A77, Extrato!$D:$D, Extrato!$A:$A, ""), "")</f>
        <v/>
      </c>
      <c r="F77">
        <f>IF(A77&lt;&gt;"", XLOOKUP(A77, Extrato!$D:$D, Extrato!$B:$B, ""), "")</f>
        <v/>
      </c>
      <c r="G77">
        <f>IF(A77&lt;&gt;"", XLOOKUP(A77, Extrato!$D:$D, Extrato!$C:$C, ""), "")</f>
        <v/>
      </c>
      <c r="H77">
        <f>IF(A77="", "", IF(E77="", "Pendente", IF(C77=G77, "OK", "Valor divergente")))</f>
        <v/>
      </c>
    </row>
    <row r="78">
      <c r="A78">
        <f>IF(NF!A76&lt;&gt;"", NF!A76, "")</f>
        <v/>
      </c>
      <c r="B78">
        <f>IF(A78&lt;&gt;"", NF!B76, "")</f>
        <v/>
      </c>
      <c r="C78">
        <f>IF(A78&lt;&gt;"", NF!C76, "")</f>
        <v/>
      </c>
      <c r="D78">
        <f>IF(A78&lt;&gt;"", NF!D76, "")</f>
        <v/>
      </c>
      <c r="E78">
        <f>IF(A78&lt;&gt;"", XLOOKUP(A78, Extrato!$D:$D, Extrato!$A:$A, ""), "")</f>
        <v/>
      </c>
      <c r="F78">
        <f>IF(A78&lt;&gt;"", XLOOKUP(A78, Extrato!$D:$D, Extrato!$B:$B, ""), "")</f>
        <v/>
      </c>
      <c r="G78">
        <f>IF(A78&lt;&gt;"", XLOOKUP(A78, Extrato!$D:$D, Extrato!$C:$C, ""), "")</f>
        <v/>
      </c>
      <c r="H78">
        <f>IF(A78="", "", IF(E78="", "Pendente", IF(C78=G78, "OK", "Valor divergente")))</f>
        <v/>
      </c>
    </row>
    <row r="79">
      <c r="A79">
        <f>IF(NF!A77&lt;&gt;"", NF!A77, "")</f>
        <v/>
      </c>
      <c r="B79">
        <f>IF(A79&lt;&gt;"", NF!B77, "")</f>
        <v/>
      </c>
      <c r="C79">
        <f>IF(A79&lt;&gt;"", NF!C77, "")</f>
        <v/>
      </c>
      <c r="D79">
        <f>IF(A79&lt;&gt;"", NF!D77, "")</f>
        <v/>
      </c>
      <c r="E79">
        <f>IF(A79&lt;&gt;"", XLOOKUP(A79, Extrato!$D:$D, Extrato!$A:$A, ""), "")</f>
        <v/>
      </c>
      <c r="F79">
        <f>IF(A79&lt;&gt;"", XLOOKUP(A79, Extrato!$D:$D, Extrato!$B:$B, ""), "")</f>
        <v/>
      </c>
      <c r="G79">
        <f>IF(A79&lt;&gt;"", XLOOKUP(A79, Extrato!$D:$D, Extrato!$C:$C, ""), "")</f>
        <v/>
      </c>
      <c r="H79">
        <f>IF(A79="", "", IF(E79="", "Pendente", IF(C79=G79, "OK", "Valor divergente")))</f>
        <v/>
      </c>
    </row>
    <row r="80">
      <c r="A80">
        <f>IF(NF!A78&lt;&gt;"", NF!A78, "")</f>
        <v/>
      </c>
      <c r="B80">
        <f>IF(A80&lt;&gt;"", NF!B78, "")</f>
        <v/>
      </c>
      <c r="C80">
        <f>IF(A80&lt;&gt;"", NF!C78, "")</f>
        <v/>
      </c>
      <c r="D80">
        <f>IF(A80&lt;&gt;"", NF!D78, "")</f>
        <v/>
      </c>
      <c r="E80">
        <f>IF(A80&lt;&gt;"", XLOOKUP(A80, Extrato!$D:$D, Extrato!$A:$A, ""), "")</f>
        <v/>
      </c>
      <c r="F80">
        <f>IF(A80&lt;&gt;"", XLOOKUP(A80, Extrato!$D:$D, Extrato!$B:$B, ""), "")</f>
        <v/>
      </c>
      <c r="G80">
        <f>IF(A80&lt;&gt;"", XLOOKUP(A80, Extrato!$D:$D, Extrato!$C:$C, ""), "")</f>
        <v/>
      </c>
      <c r="H80">
        <f>IF(A80="", "", IF(E80="", "Pendente", IF(C80=G80, "OK", "Valor divergente")))</f>
        <v/>
      </c>
    </row>
    <row r="81">
      <c r="A81">
        <f>IF(NF!A79&lt;&gt;"", NF!A79, "")</f>
        <v/>
      </c>
      <c r="B81">
        <f>IF(A81&lt;&gt;"", NF!B79, "")</f>
        <v/>
      </c>
      <c r="C81">
        <f>IF(A81&lt;&gt;"", NF!C79, "")</f>
        <v/>
      </c>
      <c r="D81">
        <f>IF(A81&lt;&gt;"", NF!D79, "")</f>
        <v/>
      </c>
      <c r="E81">
        <f>IF(A81&lt;&gt;"", XLOOKUP(A81, Extrato!$D:$D, Extrato!$A:$A, ""), "")</f>
        <v/>
      </c>
      <c r="F81">
        <f>IF(A81&lt;&gt;"", XLOOKUP(A81, Extrato!$D:$D, Extrato!$B:$B, ""), "")</f>
        <v/>
      </c>
      <c r="G81">
        <f>IF(A81&lt;&gt;"", XLOOKUP(A81, Extrato!$D:$D, Extrato!$C:$C, ""), "")</f>
        <v/>
      </c>
      <c r="H81">
        <f>IF(A81="", "", IF(E81="", "Pendente", IF(C81=G81, "OK", "Valor divergente")))</f>
        <v/>
      </c>
    </row>
    <row r="82">
      <c r="A82">
        <f>IF(NF!A80&lt;&gt;"", NF!A80, "")</f>
        <v/>
      </c>
      <c r="B82">
        <f>IF(A82&lt;&gt;"", NF!B80, "")</f>
        <v/>
      </c>
      <c r="C82">
        <f>IF(A82&lt;&gt;"", NF!C80, "")</f>
        <v/>
      </c>
      <c r="D82">
        <f>IF(A82&lt;&gt;"", NF!D80, "")</f>
        <v/>
      </c>
      <c r="E82">
        <f>IF(A82&lt;&gt;"", XLOOKUP(A82, Extrato!$D:$D, Extrato!$A:$A, ""), "")</f>
        <v/>
      </c>
      <c r="F82">
        <f>IF(A82&lt;&gt;"", XLOOKUP(A82, Extrato!$D:$D, Extrato!$B:$B, ""), "")</f>
        <v/>
      </c>
      <c r="G82">
        <f>IF(A82&lt;&gt;"", XLOOKUP(A82, Extrato!$D:$D, Extrato!$C:$C, ""), "")</f>
        <v/>
      </c>
      <c r="H82">
        <f>IF(A82="", "", IF(E82="", "Pendente", IF(C82=G82, "OK", "Valor divergente")))</f>
        <v/>
      </c>
    </row>
    <row r="83">
      <c r="A83">
        <f>IF(NF!A81&lt;&gt;"", NF!A81, "")</f>
        <v/>
      </c>
      <c r="B83">
        <f>IF(A83&lt;&gt;"", NF!B81, "")</f>
        <v/>
      </c>
      <c r="C83">
        <f>IF(A83&lt;&gt;"", NF!C81, "")</f>
        <v/>
      </c>
      <c r="D83">
        <f>IF(A83&lt;&gt;"", NF!D81, "")</f>
        <v/>
      </c>
      <c r="E83">
        <f>IF(A83&lt;&gt;"", XLOOKUP(A83, Extrato!$D:$D, Extrato!$A:$A, ""), "")</f>
        <v/>
      </c>
      <c r="F83">
        <f>IF(A83&lt;&gt;"", XLOOKUP(A83, Extrato!$D:$D, Extrato!$B:$B, ""), "")</f>
        <v/>
      </c>
      <c r="G83">
        <f>IF(A83&lt;&gt;"", XLOOKUP(A83, Extrato!$D:$D, Extrato!$C:$C, ""), "")</f>
        <v/>
      </c>
      <c r="H83">
        <f>IF(A83="", "", IF(E83="", "Pendente", IF(C83=G83, "OK", "Valor divergente")))</f>
        <v/>
      </c>
    </row>
    <row r="84">
      <c r="A84">
        <f>IF(NF!A82&lt;&gt;"", NF!A82, "")</f>
        <v/>
      </c>
      <c r="B84">
        <f>IF(A84&lt;&gt;"", NF!B82, "")</f>
        <v/>
      </c>
      <c r="C84">
        <f>IF(A84&lt;&gt;"", NF!C82, "")</f>
        <v/>
      </c>
      <c r="D84">
        <f>IF(A84&lt;&gt;"", NF!D82, "")</f>
        <v/>
      </c>
      <c r="E84">
        <f>IF(A84&lt;&gt;"", XLOOKUP(A84, Extrato!$D:$D, Extrato!$A:$A, ""), "")</f>
        <v/>
      </c>
      <c r="F84">
        <f>IF(A84&lt;&gt;"", XLOOKUP(A84, Extrato!$D:$D, Extrato!$B:$B, ""), "")</f>
        <v/>
      </c>
      <c r="G84">
        <f>IF(A84&lt;&gt;"", XLOOKUP(A84, Extrato!$D:$D, Extrato!$C:$C, ""), "")</f>
        <v/>
      </c>
      <c r="H84">
        <f>IF(A84="", "", IF(E84="", "Pendente", IF(C84=G84, "OK", "Valor divergente")))</f>
        <v/>
      </c>
    </row>
    <row r="85">
      <c r="A85">
        <f>IF(NF!A83&lt;&gt;"", NF!A83, "")</f>
        <v/>
      </c>
      <c r="B85">
        <f>IF(A85&lt;&gt;"", NF!B83, "")</f>
        <v/>
      </c>
      <c r="C85">
        <f>IF(A85&lt;&gt;"", NF!C83, "")</f>
        <v/>
      </c>
      <c r="D85">
        <f>IF(A85&lt;&gt;"", NF!D83, "")</f>
        <v/>
      </c>
      <c r="E85">
        <f>IF(A85&lt;&gt;"", XLOOKUP(A85, Extrato!$D:$D, Extrato!$A:$A, ""), "")</f>
        <v/>
      </c>
      <c r="F85">
        <f>IF(A85&lt;&gt;"", XLOOKUP(A85, Extrato!$D:$D, Extrato!$B:$B, ""), "")</f>
        <v/>
      </c>
      <c r="G85">
        <f>IF(A85&lt;&gt;"", XLOOKUP(A85, Extrato!$D:$D, Extrato!$C:$C, ""), "")</f>
        <v/>
      </c>
      <c r="H85">
        <f>IF(A85="", "", IF(E85="", "Pendente", IF(C85=G85, "OK", "Valor divergente")))</f>
        <v/>
      </c>
    </row>
    <row r="86">
      <c r="A86">
        <f>IF(NF!A84&lt;&gt;"", NF!A84, "")</f>
        <v/>
      </c>
      <c r="B86">
        <f>IF(A86&lt;&gt;"", NF!B84, "")</f>
        <v/>
      </c>
      <c r="C86">
        <f>IF(A86&lt;&gt;"", NF!C84, "")</f>
        <v/>
      </c>
      <c r="D86">
        <f>IF(A86&lt;&gt;"", NF!D84, "")</f>
        <v/>
      </c>
      <c r="E86">
        <f>IF(A86&lt;&gt;"", XLOOKUP(A86, Extrato!$D:$D, Extrato!$A:$A, ""), "")</f>
        <v/>
      </c>
      <c r="F86">
        <f>IF(A86&lt;&gt;"", XLOOKUP(A86, Extrato!$D:$D, Extrato!$B:$B, ""), "")</f>
        <v/>
      </c>
      <c r="G86">
        <f>IF(A86&lt;&gt;"", XLOOKUP(A86, Extrato!$D:$D, Extrato!$C:$C, ""), "")</f>
        <v/>
      </c>
      <c r="H86">
        <f>IF(A86="", "", IF(E86="", "Pendente", IF(C86=G86, "OK", "Valor divergente")))</f>
        <v/>
      </c>
    </row>
    <row r="87">
      <c r="A87">
        <f>IF(NF!A85&lt;&gt;"", NF!A85, "")</f>
        <v/>
      </c>
      <c r="B87">
        <f>IF(A87&lt;&gt;"", NF!B85, "")</f>
        <v/>
      </c>
      <c r="C87">
        <f>IF(A87&lt;&gt;"", NF!C85, "")</f>
        <v/>
      </c>
      <c r="D87">
        <f>IF(A87&lt;&gt;"", NF!D85, "")</f>
        <v/>
      </c>
      <c r="E87">
        <f>IF(A87&lt;&gt;"", XLOOKUP(A87, Extrato!$D:$D, Extrato!$A:$A, ""), "")</f>
        <v/>
      </c>
      <c r="F87">
        <f>IF(A87&lt;&gt;"", XLOOKUP(A87, Extrato!$D:$D, Extrato!$B:$B, ""), "")</f>
        <v/>
      </c>
      <c r="G87">
        <f>IF(A87&lt;&gt;"", XLOOKUP(A87, Extrato!$D:$D, Extrato!$C:$C, ""), "")</f>
        <v/>
      </c>
      <c r="H87">
        <f>IF(A87="", "", IF(E87="", "Pendente", IF(C87=G87, "OK", "Valor divergente")))</f>
        <v/>
      </c>
    </row>
    <row r="88">
      <c r="A88">
        <f>IF(NF!A86&lt;&gt;"", NF!A86, "")</f>
        <v/>
      </c>
      <c r="B88">
        <f>IF(A88&lt;&gt;"", NF!B86, "")</f>
        <v/>
      </c>
      <c r="C88">
        <f>IF(A88&lt;&gt;"", NF!C86, "")</f>
        <v/>
      </c>
      <c r="D88">
        <f>IF(A88&lt;&gt;"", NF!D86, "")</f>
        <v/>
      </c>
      <c r="E88">
        <f>IF(A88&lt;&gt;"", XLOOKUP(A88, Extrato!$D:$D, Extrato!$A:$A, ""), "")</f>
        <v/>
      </c>
      <c r="F88">
        <f>IF(A88&lt;&gt;"", XLOOKUP(A88, Extrato!$D:$D, Extrato!$B:$B, ""), "")</f>
        <v/>
      </c>
      <c r="G88">
        <f>IF(A88&lt;&gt;"", XLOOKUP(A88, Extrato!$D:$D, Extrato!$C:$C, ""), "")</f>
        <v/>
      </c>
      <c r="H88">
        <f>IF(A88="", "", IF(E88="", "Pendente", IF(C88=G88, "OK", "Valor divergente")))</f>
        <v/>
      </c>
    </row>
    <row r="89">
      <c r="A89">
        <f>IF(NF!A87&lt;&gt;"", NF!A87, "")</f>
        <v/>
      </c>
      <c r="B89">
        <f>IF(A89&lt;&gt;"", NF!B87, "")</f>
        <v/>
      </c>
      <c r="C89">
        <f>IF(A89&lt;&gt;"", NF!C87, "")</f>
        <v/>
      </c>
      <c r="D89">
        <f>IF(A89&lt;&gt;"", NF!D87, "")</f>
        <v/>
      </c>
      <c r="E89">
        <f>IF(A89&lt;&gt;"", XLOOKUP(A89, Extrato!$D:$D, Extrato!$A:$A, ""), "")</f>
        <v/>
      </c>
      <c r="F89">
        <f>IF(A89&lt;&gt;"", XLOOKUP(A89, Extrato!$D:$D, Extrato!$B:$B, ""), "")</f>
        <v/>
      </c>
      <c r="G89">
        <f>IF(A89&lt;&gt;"", XLOOKUP(A89, Extrato!$D:$D, Extrato!$C:$C, ""), "")</f>
        <v/>
      </c>
      <c r="H89">
        <f>IF(A89="", "", IF(E89="", "Pendente", IF(C89=G89, "OK", "Valor divergente")))</f>
        <v/>
      </c>
    </row>
    <row r="90">
      <c r="A90">
        <f>IF(NF!A88&lt;&gt;"", NF!A88, "")</f>
        <v/>
      </c>
      <c r="B90">
        <f>IF(A90&lt;&gt;"", NF!B88, "")</f>
        <v/>
      </c>
      <c r="C90">
        <f>IF(A90&lt;&gt;"", NF!C88, "")</f>
        <v/>
      </c>
      <c r="D90">
        <f>IF(A90&lt;&gt;"", NF!D88, "")</f>
        <v/>
      </c>
      <c r="E90">
        <f>IF(A90&lt;&gt;"", XLOOKUP(A90, Extrato!$D:$D, Extrato!$A:$A, ""), "")</f>
        <v/>
      </c>
      <c r="F90">
        <f>IF(A90&lt;&gt;"", XLOOKUP(A90, Extrato!$D:$D, Extrato!$B:$B, ""), "")</f>
        <v/>
      </c>
      <c r="G90">
        <f>IF(A90&lt;&gt;"", XLOOKUP(A90, Extrato!$D:$D, Extrato!$C:$C, ""), "")</f>
        <v/>
      </c>
      <c r="H90">
        <f>IF(A90="", "", IF(E90="", "Pendente", IF(C90=G90, "OK", "Valor divergente")))</f>
        <v/>
      </c>
    </row>
    <row r="91">
      <c r="A91">
        <f>IF(NF!A89&lt;&gt;"", NF!A89, "")</f>
        <v/>
      </c>
      <c r="B91">
        <f>IF(A91&lt;&gt;"", NF!B89, "")</f>
        <v/>
      </c>
      <c r="C91">
        <f>IF(A91&lt;&gt;"", NF!C89, "")</f>
        <v/>
      </c>
      <c r="D91">
        <f>IF(A91&lt;&gt;"", NF!D89, "")</f>
        <v/>
      </c>
      <c r="E91">
        <f>IF(A91&lt;&gt;"", XLOOKUP(A91, Extrato!$D:$D, Extrato!$A:$A, ""), "")</f>
        <v/>
      </c>
      <c r="F91">
        <f>IF(A91&lt;&gt;"", XLOOKUP(A91, Extrato!$D:$D, Extrato!$B:$B, ""), "")</f>
        <v/>
      </c>
      <c r="G91">
        <f>IF(A91&lt;&gt;"", XLOOKUP(A91, Extrato!$D:$D, Extrato!$C:$C, ""), "")</f>
        <v/>
      </c>
      <c r="H91">
        <f>IF(A91="", "", IF(E91="", "Pendente", IF(C91=G91, "OK", "Valor divergente")))</f>
        <v/>
      </c>
    </row>
    <row r="92">
      <c r="A92">
        <f>IF(NF!A90&lt;&gt;"", NF!A90, "")</f>
        <v/>
      </c>
      <c r="B92">
        <f>IF(A92&lt;&gt;"", NF!B90, "")</f>
        <v/>
      </c>
      <c r="C92">
        <f>IF(A92&lt;&gt;"", NF!C90, "")</f>
        <v/>
      </c>
      <c r="D92">
        <f>IF(A92&lt;&gt;"", NF!D90, "")</f>
        <v/>
      </c>
      <c r="E92">
        <f>IF(A92&lt;&gt;"", XLOOKUP(A92, Extrato!$D:$D, Extrato!$A:$A, ""), "")</f>
        <v/>
      </c>
      <c r="F92">
        <f>IF(A92&lt;&gt;"", XLOOKUP(A92, Extrato!$D:$D, Extrato!$B:$B, ""), "")</f>
        <v/>
      </c>
      <c r="G92">
        <f>IF(A92&lt;&gt;"", XLOOKUP(A92, Extrato!$D:$D, Extrato!$C:$C, ""), "")</f>
        <v/>
      </c>
      <c r="H92">
        <f>IF(A92="", "", IF(E92="", "Pendente", IF(C92=G92, "OK", "Valor divergente")))</f>
        <v/>
      </c>
    </row>
    <row r="93">
      <c r="A93">
        <f>IF(NF!A91&lt;&gt;"", NF!A91, "")</f>
        <v/>
      </c>
      <c r="B93">
        <f>IF(A93&lt;&gt;"", NF!B91, "")</f>
        <v/>
      </c>
      <c r="C93">
        <f>IF(A93&lt;&gt;"", NF!C91, "")</f>
        <v/>
      </c>
      <c r="D93">
        <f>IF(A93&lt;&gt;"", NF!D91, "")</f>
        <v/>
      </c>
      <c r="E93">
        <f>IF(A93&lt;&gt;"", XLOOKUP(A93, Extrato!$D:$D, Extrato!$A:$A, ""), "")</f>
        <v/>
      </c>
      <c r="F93">
        <f>IF(A93&lt;&gt;"", XLOOKUP(A93, Extrato!$D:$D, Extrato!$B:$B, ""), "")</f>
        <v/>
      </c>
      <c r="G93">
        <f>IF(A93&lt;&gt;"", XLOOKUP(A93, Extrato!$D:$D, Extrato!$C:$C, ""), "")</f>
        <v/>
      </c>
      <c r="H93">
        <f>IF(A93="", "", IF(E93="", "Pendente", IF(C93=G93, "OK", "Valor divergente")))</f>
        <v/>
      </c>
    </row>
    <row r="94">
      <c r="A94">
        <f>IF(NF!A92&lt;&gt;"", NF!A92, "")</f>
        <v/>
      </c>
      <c r="B94">
        <f>IF(A94&lt;&gt;"", NF!B92, "")</f>
        <v/>
      </c>
      <c r="C94">
        <f>IF(A94&lt;&gt;"", NF!C92, "")</f>
        <v/>
      </c>
      <c r="D94">
        <f>IF(A94&lt;&gt;"", NF!D92, "")</f>
        <v/>
      </c>
      <c r="E94">
        <f>IF(A94&lt;&gt;"", XLOOKUP(A94, Extrato!$D:$D, Extrato!$A:$A, ""), "")</f>
        <v/>
      </c>
      <c r="F94">
        <f>IF(A94&lt;&gt;"", XLOOKUP(A94, Extrato!$D:$D, Extrato!$B:$B, ""), "")</f>
        <v/>
      </c>
      <c r="G94">
        <f>IF(A94&lt;&gt;"", XLOOKUP(A94, Extrato!$D:$D, Extrato!$C:$C, ""), "")</f>
        <v/>
      </c>
      <c r="H94">
        <f>IF(A94="", "", IF(E94="", "Pendente", IF(C94=G94, "OK", "Valor divergente")))</f>
        <v/>
      </c>
    </row>
    <row r="95">
      <c r="A95">
        <f>IF(NF!A93&lt;&gt;"", NF!A93, "")</f>
        <v/>
      </c>
      <c r="B95">
        <f>IF(A95&lt;&gt;"", NF!B93, "")</f>
        <v/>
      </c>
      <c r="C95">
        <f>IF(A95&lt;&gt;"", NF!C93, "")</f>
        <v/>
      </c>
      <c r="D95">
        <f>IF(A95&lt;&gt;"", NF!D93, "")</f>
        <v/>
      </c>
      <c r="E95">
        <f>IF(A95&lt;&gt;"", XLOOKUP(A95, Extrato!$D:$D, Extrato!$A:$A, ""), "")</f>
        <v/>
      </c>
      <c r="F95">
        <f>IF(A95&lt;&gt;"", XLOOKUP(A95, Extrato!$D:$D, Extrato!$B:$B, ""), "")</f>
        <v/>
      </c>
      <c r="G95">
        <f>IF(A95&lt;&gt;"", XLOOKUP(A95, Extrato!$D:$D, Extrato!$C:$C, ""), "")</f>
        <v/>
      </c>
      <c r="H95">
        <f>IF(A95="", "", IF(E95="", "Pendente", IF(C95=G95, "OK", "Valor divergente")))</f>
        <v/>
      </c>
    </row>
    <row r="96">
      <c r="A96">
        <f>IF(NF!A94&lt;&gt;"", NF!A94, "")</f>
        <v/>
      </c>
      <c r="B96">
        <f>IF(A96&lt;&gt;"", NF!B94, "")</f>
        <v/>
      </c>
      <c r="C96">
        <f>IF(A96&lt;&gt;"", NF!C94, "")</f>
        <v/>
      </c>
      <c r="D96">
        <f>IF(A96&lt;&gt;"", NF!D94, "")</f>
        <v/>
      </c>
      <c r="E96">
        <f>IF(A96&lt;&gt;"", XLOOKUP(A96, Extrato!$D:$D, Extrato!$A:$A, ""), "")</f>
        <v/>
      </c>
      <c r="F96">
        <f>IF(A96&lt;&gt;"", XLOOKUP(A96, Extrato!$D:$D, Extrato!$B:$B, ""), "")</f>
        <v/>
      </c>
      <c r="G96">
        <f>IF(A96&lt;&gt;"", XLOOKUP(A96, Extrato!$D:$D, Extrato!$C:$C, ""), "")</f>
        <v/>
      </c>
      <c r="H96">
        <f>IF(A96="", "", IF(E96="", "Pendente", IF(C96=G96, "OK", "Valor divergente")))</f>
        <v/>
      </c>
    </row>
    <row r="97">
      <c r="A97">
        <f>IF(NF!A95&lt;&gt;"", NF!A95, "")</f>
        <v/>
      </c>
      <c r="B97">
        <f>IF(A97&lt;&gt;"", NF!B95, "")</f>
        <v/>
      </c>
      <c r="C97">
        <f>IF(A97&lt;&gt;"", NF!C95, "")</f>
        <v/>
      </c>
      <c r="D97">
        <f>IF(A97&lt;&gt;"", NF!D95, "")</f>
        <v/>
      </c>
      <c r="E97">
        <f>IF(A97&lt;&gt;"", XLOOKUP(A97, Extrato!$D:$D, Extrato!$A:$A, ""), "")</f>
        <v/>
      </c>
      <c r="F97">
        <f>IF(A97&lt;&gt;"", XLOOKUP(A97, Extrato!$D:$D, Extrato!$B:$B, ""), "")</f>
        <v/>
      </c>
      <c r="G97">
        <f>IF(A97&lt;&gt;"", XLOOKUP(A97, Extrato!$D:$D, Extrato!$C:$C, ""), "")</f>
        <v/>
      </c>
      <c r="H97">
        <f>IF(A97="", "", IF(E97="", "Pendente", IF(C97=G97, "OK", "Valor divergente")))</f>
        <v/>
      </c>
    </row>
    <row r="98">
      <c r="A98">
        <f>IF(NF!A96&lt;&gt;"", NF!A96, "")</f>
        <v/>
      </c>
      <c r="B98">
        <f>IF(A98&lt;&gt;"", NF!B96, "")</f>
        <v/>
      </c>
      <c r="C98">
        <f>IF(A98&lt;&gt;"", NF!C96, "")</f>
        <v/>
      </c>
      <c r="D98">
        <f>IF(A98&lt;&gt;"", NF!D96, "")</f>
        <v/>
      </c>
      <c r="E98">
        <f>IF(A98&lt;&gt;"", XLOOKUP(A98, Extrato!$D:$D, Extrato!$A:$A, ""), "")</f>
        <v/>
      </c>
      <c r="F98">
        <f>IF(A98&lt;&gt;"", XLOOKUP(A98, Extrato!$D:$D, Extrato!$B:$B, ""), "")</f>
        <v/>
      </c>
      <c r="G98">
        <f>IF(A98&lt;&gt;"", XLOOKUP(A98, Extrato!$D:$D, Extrato!$C:$C, ""), "")</f>
        <v/>
      </c>
      <c r="H98">
        <f>IF(A98="", "", IF(E98="", "Pendente", IF(C98=G98, "OK", "Valor divergente")))</f>
        <v/>
      </c>
    </row>
    <row r="99">
      <c r="A99">
        <f>IF(NF!A97&lt;&gt;"", NF!A97, "")</f>
        <v/>
      </c>
      <c r="B99">
        <f>IF(A99&lt;&gt;"", NF!B97, "")</f>
        <v/>
      </c>
      <c r="C99">
        <f>IF(A99&lt;&gt;"", NF!C97, "")</f>
        <v/>
      </c>
      <c r="D99">
        <f>IF(A99&lt;&gt;"", NF!D97, "")</f>
        <v/>
      </c>
      <c r="E99">
        <f>IF(A99&lt;&gt;"", XLOOKUP(A99, Extrato!$D:$D, Extrato!$A:$A, ""), "")</f>
        <v/>
      </c>
      <c r="F99">
        <f>IF(A99&lt;&gt;"", XLOOKUP(A99, Extrato!$D:$D, Extrato!$B:$B, ""), "")</f>
        <v/>
      </c>
      <c r="G99">
        <f>IF(A99&lt;&gt;"", XLOOKUP(A99, Extrato!$D:$D, Extrato!$C:$C, ""), "")</f>
        <v/>
      </c>
      <c r="H99">
        <f>IF(A99="", "", IF(E99="", "Pendente", IF(C99=G99, "OK", "Valor divergente")))</f>
        <v/>
      </c>
    </row>
    <row r="100">
      <c r="A100">
        <f>IF(NF!A98&lt;&gt;"", NF!A98, "")</f>
        <v/>
      </c>
      <c r="B100">
        <f>IF(A100&lt;&gt;"", NF!B98, "")</f>
        <v/>
      </c>
      <c r="C100">
        <f>IF(A100&lt;&gt;"", NF!C98, "")</f>
        <v/>
      </c>
      <c r="D100">
        <f>IF(A100&lt;&gt;"", NF!D98, "")</f>
        <v/>
      </c>
      <c r="E100">
        <f>IF(A100&lt;&gt;"", XLOOKUP(A100, Extrato!$D:$D, Extrato!$A:$A, ""), "")</f>
        <v/>
      </c>
      <c r="F100">
        <f>IF(A100&lt;&gt;"", XLOOKUP(A100, Extrato!$D:$D, Extrato!$B:$B, ""), "")</f>
        <v/>
      </c>
      <c r="G100">
        <f>IF(A100&lt;&gt;"", XLOOKUP(A100, Extrato!$D:$D, Extrato!$C:$C, ""), "")</f>
        <v/>
      </c>
      <c r="H100">
        <f>IF(A100="", "", IF(E100="", "Pendente", IF(C100=G100, "OK", "Valor divergente")))</f>
        <v/>
      </c>
    </row>
    <row r="101">
      <c r="A101">
        <f>IF(NF!A99&lt;&gt;"", NF!A99, "")</f>
        <v/>
      </c>
      <c r="B101">
        <f>IF(A101&lt;&gt;"", NF!B99, "")</f>
        <v/>
      </c>
      <c r="C101">
        <f>IF(A101&lt;&gt;"", NF!C99, "")</f>
        <v/>
      </c>
      <c r="D101">
        <f>IF(A101&lt;&gt;"", NF!D99, "")</f>
        <v/>
      </c>
      <c r="E101">
        <f>IF(A101&lt;&gt;"", XLOOKUP(A101, Extrato!$D:$D, Extrato!$A:$A, ""), "")</f>
        <v/>
      </c>
      <c r="F101">
        <f>IF(A101&lt;&gt;"", XLOOKUP(A101, Extrato!$D:$D, Extrato!$B:$B, ""), "")</f>
        <v/>
      </c>
      <c r="G101">
        <f>IF(A101&lt;&gt;"", XLOOKUP(A101, Extrato!$D:$D, Extrato!$C:$C, ""), "")</f>
        <v/>
      </c>
      <c r="H101">
        <f>IF(A101="", "", IF(E101="", "Pendente", IF(C101=G101, "OK", "Valor divergente")))</f>
        <v/>
      </c>
    </row>
    <row r="102">
      <c r="A102">
        <f>IF(NF!A100&lt;&gt;"", NF!A100, "")</f>
        <v/>
      </c>
      <c r="B102">
        <f>IF(A102&lt;&gt;"", NF!B100, "")</f>
        <v/>
      </c>
      <c r="C102">
        <f>IF(A102&lt;&gt;"", NF!C100, "")</f>
        <v/>
      </c>
      <c r="D102">
        <f>IF(A102&lt;&gt;"", NF!D100, "")</f>
        <v/>
      </c>
      <c r="E102">
        <f>IF(A102&lt;&gt;"", XLOOKUP(A102, Extrato!$D:$D, Extrato!$A:$A, ""), "")</f>
        <v/>
      </c>
      <c r="F102">
        <f>IF(A102&lt;&gt;"", XLOOKUP(A102, Extrato!$D:$D, Extrato!$B:$B, ""), "")</f>
        <v/>
      </c>
      <c r="G102">
        <f>IF(A102&lt;&gt;"", XLOOKUP(A102, Extrato!$D:$D, Extrato!$C:$C, ""), "")</f>
        <v/>
      </c>
      <c r="H102">
        <f>IF(A102="", "", IF(E102="", "Pendente", IF(C102=G102, "OK", "Valor divergente")))</f>
        <v/>
      </c>
    </row>
    <row r="103">
      <c r="A103">
        <f>IF(NF!A101&lt;&gt;"", NF!A101, "")</f>
        <v/>
      </c>
      <c r="B103">
        <f>IF(A103&lt;&gt;"", NF!B101, "")</f>
        <v/>
      </c>
      <c r="C103">
        <f>IF(A103&lt;&gt;"", NF!C101, "")</f>
        <v/>
      </c>
      <c r="D103">
        <f>IF(A103&lt;&gt;"", NF!D101, "")</f>
        <v/>
      </c>
      <c r="E103">
        <f>IF(A103&lt;&gt;"", XLOOKUP(A103, Extrato!$D:$D, Extrato!$A:$A, ""), "")</f>
        <v/>
      </c>
      <c r="F103">
        <f>IF(A103&lt;&gt;"", XLOOKUP(A103, Extrato!$D:$D, Extrato!$B:$B, ""), "")</f>
        <v/>
      </c>
      <c r="G103">
        <f>IF(A103&lt;&gt;"", XLOOKUP(A103, Extrato!$D:$D, Extrato!$C:$C, ""), "")</f>
        <v/>
      </c>
      <c r="H103">
        <f>IF(A103="", "", IF(E103="", "Pendente", IF(C103=G103, "OK", "Valor divergente")))</f>
        <v/>
      </c>
    </row>
    <row r="104">
      <c r="A104">
        <f>IF(NF!A102&lt;&gt;"", NF!A102, "")</f>
        <v/>
      </c>
      <c r="B104">
        <f>IF(A104&lt;&gt;"", NF!B102, "")</f>
        <v/>
      </c>
      <c r="C104">
        <f>IF(A104&lt;&gt;"", NF!C102, "")</f>
        <v/>
      </c>
      <c r="D104">
        <f>IF(A104&lt;&gt;"", NF!D102, "")</f>
        <v/>
      </c>
      <c r="E104">
        <f>IF(A104&lt;&gt;"", XLOOKUP(A104, Extrato!$D:$D, Extrato!$A:$A, ""), "")</f>
        <v/>
      </c>
      <c r="F104">
        <f>IF(A104&lt;&gt;"", XLOOKUP(A104, Extrato!$D:$D, Extrato!$B:$B, ""), "")</f>
        <v/>
      </c>
      <c r="G104">
        <f>IF(A104&lt;&gt;"", XLOOKUP(A104, Extrato!$D:$D, Extrato!$C:$C, ""), "")</f>
        <v/>
      </c>
      <c r="H104">
        <f>IF(A104="", "", IF(E104="", "Pendente", IF(C104=G104, "OK", "Valor divergente")))</f>
        <v/>
      </c>
    </row>
    <row r="105">
      <c r="A105">
        <f>IF(NF!A103&lt;&gt;"", NF!A103, "")</f>
        <v/>
      </c>
      <c r="B105">
        <f>IF(A105&lt;&gt;"", NF!B103, "")</f>
        <v/>
      </c>
      <c r="C105">
        <f>IF(A105&lt;&gt;"", NF!C103, "")</f>
        <v/>
      </c>
      <c r="D105">
        <f>IF(A105&lt;&gt;"", NF!D103, "")</f>
        <v/>
      </c>
      <c r="E105">
        <f>IF(A105&lt;&gt;"", XLOOKUP(A105, Extrato!$D:$D, Extrato!$A:$A, ""), "")</f>
        <v/>
      </c>
      <c r="F105">
        <f>IF(A105&lt;&gt;"", XLOOKUP(A105, Extrato!$D:$D, Extrato!$B:$B, ""), "")</f>
        <v/>
      </c>
      <c r="G105">
        <f>IF(A105&lt;&gt;"", XLOOKUP(A105, Extrato!$D:$D, Extrato!$C:$C, ""), "")</f>
        <v/>
      </c>
      <c r="H105">
        <f>IF(A105="", "", IF(E105="", "Pendente", IF(C105=G105, "OK", "Valor divergente")))</f>
        <v/>
      </c>
    </row>
    <row r="106">
      <c r="A106">
        <f>IF(NF!A104&lt;&gt;"", NF!A104, "")</f>
        <v/>
      </c>
      <c r="B106">
        <f>IF(A106&lt;&gt;"", NF!B104, "")</f>
        <v/>
      </c>
      <c r="C106">
        <f>IF(A106&lt;&gt;"", NF!C104, "")</f>
        <v/>
      </c>
      <c r="D106">
        <f>IF(A106&lt;&gt;"", NF!D104, "")</f>
        <v/>
      </c>
      <c r="E106">
        <f>IF(A106&lt;&gt;"", XLOOKUP(A106, Extrato!$D:$D, Extrato!$A:$A, ""), "")</f>
        <v/>
      </c>
      <c r="F106">
        <f>IF(A106&lt;&gt;"", XLOOKUP(A106, Extrato!$D:$D, Extrato!$B:$B, ""), "")</f>
        <v/>
      </c>
      <c r="G106">
        <f>IF(A106&lt;&gt;"", XLOOKUP(A106, Extrato!$D:$D, Extrato!$C:$C, ""), "")</f>
        <v/>
      </c>
      <c r="H106">
        <f>IF(A106="", "", IF(E106="", "Pendente", IF(C106=G106, "OK", "Valor divergente")))</f>
        <v/>
      </c>
    </row>
    <row r="107">
      <c r="A107">
        <f>IF(NF!A105&lt;&gt;"", NF!A105, "")</f>
        <v/>
      </c>
      <c r="B107">
        <f>IF(A107&lt;&gt;"", NF!B105, "")</f>
        <v/>
      </c>
      <c r="C107">
        <f>IF(A107&lt;&gt;"", NF!C105, "")</f>
        <v/>
      </c>
      <c r="D107">
        <f>IF(A107&lt;&gt;"", NF!D105, "")</f>
        <v/>
      </c>
      <c r="E107">
        <f>IF(A107&lt;&gt;"", XLOOKUP(A107, Extrato!$D:$D, Extrato!$A:$A, ""), "")</f>
        <v/>
      </c>
      <c r="F107">
        <f>IF(A107&lt;&gt;"", XLOOKUP(A107, Extrato!$D:$D, Extrato!$B:$B, ""), "")</f>
        <v/>
      </c>
      <c r="G107">
        <f>IF(A107&lt;&gt;"", XLOOKUP(A107, Extrato!$D:$D, Extrato!$C:$C, ""), "")</f>
        <v/>
      </c>
      <c r="H107">
        <f>IF(A107="", "", IF(E107="", "Pendente", IF(C107=G107, "OK", "Valor divergente")))</f>
        <v/>
      </c>
    </row>
    <row r="108">
      <c r="A108">
        <f>IF(NF!A106&lt;&gt;"", NF!A106, "")</f>
        <v/>
      </c>
      <c r="B108">
        <f>IF(A108&lt;&gt;"", NF!B106, "")</f>
        <v/>
      </c>
      <c r="C108">
        <f>IF(A108&lt;&gt;"", NF!C106, "")</f>
        <v/>
      </c>
      <c r="D108">
        <f>IF(A108&lt;&gt;"", NF!D106, "")</f>
        <v/>
      </c>
      <c r="E108">
        <f>IF(A108&lt;&gt;"", XLOOKUP(A108, Extrato!$D:$D, Extrato!$A:$A, ""), "")</f>
        <v/>
      </c>
      <c r="F108">
        <f>IF(A108&lt;&gt;"", XLOOKUP(A108, Extrato!$D:$D, Extrato!$B:$B, ""), "")</f>
        <v/>
      </c>
      <c r="G108">
        <f>IF(A108&lt;&gt;"", XLOOKUP(A108, Extrato!$D:$D, Extrato!$C:$C, ""), "")</f>
        <v/>
      </c>
      <c r="H108">
        <f>IF(A108="", "", IF(E108="", "Pendente", IF(C108=G108, "OK", "Valor divergente")))</f>
        <v/>
      </c>
    </row>
    <row r="109">
      <c r="A109">
        <f>IF(NF!A107&lt;&gt;"", NF!A107, "")</f>
        <v/>
      </c>
      <c r="B109">
        <f>IF(A109&lt;&gt;"", NF!B107, "")</f>
        <v/>
      </c>
      <c r="C109">
        <f>IF(A109&lt;&gt;"", NF!C107, "")</f>
        <v/>
      </c>
      <c r="D109">
        <f>IF(A109&lt;&gt;"", NF!D107, "")</f>
        <v/>
      </c>
      <c r="E109">
        <f>IF(A109&lt;&gt;"", XLOOKUP(A109, Extrato!$D:$D, Extrato!$A:$A, ""), "")</f>
        <v/>
      </c>
      <c r="F109">
        <f>IF(A109&lt;&gt;"", XLOOKUP(A109, Extrato!$D:$D, Extrato!$B:$B, ""), "")</f>
        <v/>
      </c>
      <c r="G109">
        <f>IF(A109&lt;&gt;"", XLOOKUP(A109, Extrato!$D:$D, Extrato!$C:$C, ""), "")</f>
        <v/>
      </c>
      <c r="H109">
        <f>IF(A109="", "", IF(E109="", "Pendente", IF(C109=G109, "OK", "Valor divergente")))</f>
        <v/>
      </c>
    </row>
    <row r="110">
      <c r="A110">
        <f>IF(NF!A108&lt;&gt;"", NF!A108, "")</f>
        <v/>
      </c>
      <c r="B110">
        <f>IF(A110&lt;&gt;"", NF!B108, "")</f>
        <v/>
      </c>
      <c r="C110">
        <f>IF(A110&lt;&gt;"", NF!C108, "")</f>
        <v/>
      </c>
      <c r="D110">
        <f>IF(A110&lt;&gt;"", NF!D108, "")</f>
        <v/>
      </c>
      <c r="E110">
        <f>IF(A110&lt;&gt;"", XLOOKUP(A110, Extrato!$D:$D, Extrato!$A:$A, ""), "")</f>
        <v/>
      </c>
      <c r="F110">
        <f>IF(A110&lt;&gt;"", XLOOKUP(A110, Extrato!$D:$D, Extrato!$B:$B, ""), "")</f>
        <v/>
      </c>
      <c r="G110">
        <f>IF(A110&lt;&gt;"", XLOOKUP(A110, Extrato!$D:$D, Extrato!$C:$C, ""), "")</f>
        <v/>
      </c>
      <c r="H110">
        <f>IF(A110="", "", IF(E110="", "Pendente", IF(C110=G110, "OK", "Valor divergente")))</f>
        <v/>
      </c>
    </row>
    <row r="111">
      <c r="A111">
        <f>IF(NF!A109&lt;&gt;"", NF!A109, "")</f>
        <v/>
      </c>
      <c r="B111">
        <f>IF(A111&lt;&gt;"", NF!B109, "")</f>
        <v/>
      </c>
      <c r="C111">
        <f>IF(A111&lt;&gt;"", NF!C109, "")</f>
        <v/>
      </c>
      <c r="D111">
        <f>IF(A111&lt;&gt;"", NF!D109, "")</f>
        <v/>
      </c>
      <c r="E111">
        <f>IF(A111&lt;&gt;"", XLOOKUP(A111, Extrato!$D:$D, Extrato!$A:$A, ""), "")</f>
        <v/>
      </c>
      <c r="F111">
        <f>IF(A111&lt;&gt;"", XLOOKUP(A111, Extrato!$D:$D, Extrato!$B:$B, ""), "")</f>
        <v/>
      </c>
      <c r="G111">
        <f>IF(A111&lt;&gt;"", XLOOKUP(A111, Extrato!$D:$D, Extrato!$C:$C, ""), "")</f>
        <v/>
      </c>
      <c r="H111">
        <f>IF(A111="", "", IF(E111="", "Pendente", IF(C111=G111, "OK", "Valor divergente")))</f>
        <v/>
      </c>
    </row>
    <row r="112">
      <c r="A112">
        <f>IF(NF!A110&lt;&gt;"", NF!A110, "")</f>
        <v/>
      </c>
      <c r="B112">
        <f>IF(A112&lt;&gt;"", NF!B110, "")</f>
        <v/>
      </c>
      <c r="C112">
        <f>IF(A112&lt;&gt;"", NF!C110, "")</f>
        <v/>
      </c>
      <c r="D112">
        <f>IF(A112&lt;&gt;"", NF!D110, "")</f>
        <v/>
      </c>
      <c r="E112">
        <f>IF(A112&lt;&gt;"", XLOOKUP(A112, Extrato!$D:$D, Extrato!$A:$A, ""), "")</f>
        <v/>
      </c>
      <c r="F112">
        <f>IF(A112&lt;&gt;"", XLOOKUP(A112, Extrato!$D:$D, Extrato!$B:$B, ""), "")</f>
        <v/>
      </c>
      <c r="G112">
        <f>IF(A112&lt;&gt;"", XLOOKUP(A112, Extrato!$D:$D, Extrato!$C:$C, ""), "")</f>
        <v/>
      </c>
      <c r="H112">
        <f>IF(A112="", "", IF(E112="", "Pendente", IF(C112=G112, "OK", "Valor divergente")))</f>
        <v/>
      </c>
    </row>
    <row r="113">
      <c r="A113">
        <f>IF(NF!A111&lt;&gt;"", NF!A111, "")</f>
        <v/>
      </c>
      <c r="B113">
        <f>IF(A113&lt;&gt;"", NF!B111, "")</f>
        <v/>
      </c>
      <c r="C113">
        <f>IF(A113&lt;&gt;"", NF!C111, "")</f>
        <v/>
      </c>
      <c r="D113">
        <f>IF(A113&lt;&gt;"", NF!D111, "")</f>
        <v/>
      </c>
      <c r="E113">
        <f>IF(A113&lt;&gt;"", XLOOKUP(A113, Extrato!$D:$D, Extrato!$A:$A, ""), "")</f>
        <v/>
      </c>
      <c r="F113">
        <f>IF(A113&lt;&gt;"", XLOOKUP(A113, Extrato!$D:$D, Extrato!$B:$B, ""), "")</f>
        <v/>
      </c>
      <c r="G113">
        <f>IF(A113&lt;&gt;"", XLOOKUP(A113, Extrato!$D:$D, Extrato!$C:$C, ""), "")</f>
        <v/>
      </c>
      <c r="H113">
        <f>IF(A113="", "", IF(E113="", "Pendente", IF(C113=G113, "OK", "Valor divergente")))</f>
        <v/>
      </c>
    </row>
    <row r="114">
      <c r="A114">
        <f>IF(NF!A112&lt;&gt;"", NF!A112, "")</f>
        <v/>
      </c>
      <c r="B114">
        <f>IF(A114&lt;&gt;"", NF!B112, "")</f>
        <v/>
      </c>
      <c r="C114">
        <f>IF(A114&lt;&gt;"", NF!C112, "")</f>
        <v/>
      </c>
      <c r="D114">
        <f>IF(A114&lt;&gt;"", NF!D112, "")</f>
        <v/>
      </c>
      <c r="E114">
        <f>IF(A114&lt;&gt;"", XLOOKUP(A114, Extrato!$D:$D, Extrato!$A:$A, ""), "")</f>
        <v/>
      </c>
      <c r="F114">
        <f>IF(A114&lt;&gt;"", XLOOKUP(A114, Extrato!$D:$D, Extrato!$B:$B, ""), "")</f>
        <v/>
      </c>
      <c r="G114">
        <f>IF(A114&lt;&gt;"", XLOOKUP(A114, Extrato!$D:$D, Extrato!$C:$C, ""), "")</f>
        <v/>
      </c>
      <c r="H114">
        <f>IF(A114="", "", IF(E114="", "Pendente", IF(C114=G114, "OK", "Valor divergente")))</f>
        <v/>
      </c>
    </row>
    <row r="115">
      <c r="A115">
        <f>IF(NF!A113&lt;&gt;"", NF!A113, "")</f>
        <v/>
      </c>
      <c r="B115">
        <f>IF(A115&lt;&gt;"", NF!B113, "")</f>
        <v/>
      </c>
      <c r="C115">
        <f>IF(A115&lt;&gt;"", NF!C113, "")</f>
        <v/>
      </c>
      <c r="D115">
        <f>IF(A115&lt;&gt;"", NF!D113, "")</f>
        <v/>
      </c>
      <c r="E115">
        <f>IF(A115&lt;&gt;"", XLOOKUP(A115, Extrato!$D:$D, Extrato!$A:$A, ""), "")</f>
        <v/>
      </c>
      <c r="F115">
        <f>IF(A115&lt;&gt;"", XLOOKUP(A115, Extrato!$D:$D, Extrato!$B:$B, ""), "")</f>
        <v/>
      </c>
      <c r="G115">
        <f>IF(A115&lt;&gt;"", XLOOKUP(A115, Extrato!$D:$D, Extrato!$C:$C, ""), "")</f>
        <v/>
      </c>
      <c r="H115">
        <f>IF(A115="", "", IF(E115="", "Pendente", IF(C115=G115, "OK", "Valor divergente")))</f>
        <v/>
      </c>
    </row>
    <row r="116">
      <c r="A116">
        <f>IF(NF!A114&lt;&gt;"", NF!A114, "")</f>
        <v/>
      </c>
      <c r="B116">
        <f>IF(A116&lt;&gt;"", NF!B114, "")</f>
        <v/>
      </c>
      <c r="C116">
        <f>IF(A116&lt;&gt;"", NF!C114, "")</f>
        <v/>
      </c>
      <c r="D116">
        <f>IF(A116&lt;&gt;"", NF!D114, "")</f>
        <v/>
      </c>
      <c r="E116">
        <f>IF(A116&lt;&gt;"", XLOOKUP(A116, Extrato!$D:$D, Extrato!$A:$A, ""), "")</f>
        <v/>
      </c>
      <c r="F116">
        <f>IF(A116&lt;&gt;"", XLOOKUP(A116, Extrato!$D:$D, Extrato!$B:$B, ""), "")</f>
        <v/>
      </c>
      <c r="G116">
        <f>IF(A116&lt;&gt;"", XLOOKUP(A116, Extrato!$D:$D, Extrato!$C:$C, ""), "")</f>
        <v/>
      </c>
      <c r="H116">
        <f>IF(A116="", "", IF(E116="", "Pendente", IF(C116=G116, "OK", "Valor divergente")))</f>
        <v/>
      </c>
    </row>
    <row r="117">
      <c r="A117">
        <f>IF(NF!A115&lt;&gt;"", NF!A115, "")</f>
        <v/>
      </c>
      <c r="B117">
        <f>IF(A117&lt;&gt;"", NF!B115, "")</f>
        <v/>
      </c>
      <c r="C117">
        <f>IF(A117&lt;&gt;"", NF!C115, "")</f>
        <v/>
      </c>
      <c r="D117">
        <f>IF(A117&lt;&gt;"", NF!D115, "")</f>
        <v/>
      </c>
      <c r="E117">
        <f>IF(A117&lt;&gt;"", XLOOKUP(A117, Extrato!$D:$D, Extrato!$A:$A, ""), "")</f>
        <v/>
      </c>
      <c r="F117">
        <f>IF(A117&lt;&gt;"", XLOOKUP(A117, Extrato!$D:$D, Extrato!$B:$B, ""), "")</f>
        <v/>
      </c>
      <c r="G117">
        <f>IF(A117&lt;&gt;"", XLOOKUP(A117, Extrato!$D:$D, Extrato!$C:$C, ""), "")</f>
        <v/>
      </c>
      <c r="H117">
        <f>IF(A117="", "", IF(E117="", "Pendente", IF(C117=G117, "OK", "Valor divergente")))</f>
        <v/>
      </c>
    </row>
    <row r="118">
      <c r="A118">
        <f>IF(NF!A116&lt;&gt;"", NF!A116, "")</f>
        <v/>
      </c>
      <c r="B118">
        <f>IF(A118&lt;&gt;"", NF!B116, "")</f>
        <v/>
      </c>
      <c r="C118">
        <f>IF(A118&lt;&gt;"", NF!C116, "")</f>
        <v/>
      </c>
      <c r="D118">
        <f>IF(A118&lt;&gt;"", NF!D116, "")</f>
        <v/>
      </c>
      <c r="E118">
        <f>IF(A118&lt;&gt;"", XLOOKUP(A118, Extrato!$D:$D, Extrato!$A:$A, ""), "")</f>
        <v/>
      </c>
      <c r="F118">
        <f>IF(A118&lt;&gt;"", XLOOKUP(A118, Extrato!$D:$D, Extrato!$B:$B, ""), "")</f>
        <v/>
      </c>
      <c r="G118">
        <f>IF(A118&lt;&gt;"", XLOOKUP(A118, Extrato!$D:$D, Extrato!$C:$C, ""), "")</f>
        <v/>
      </c>
      <c r="H118">
        <f>IF(A118="", "", IF(E118="", "Pendente", IF(C118=G118, "OK", "Valor divergente")))</f>
        <v/>
      </c>
    </row>
    <row r="119">
      <c r="A119">
        <f>IF(NF!A117&lt;&gt;"", NF!A117, "")</f>
        <v/>
      </c>
      <c r="B119">
        <f>IF(A119&lt;&gt;"", NF!B117, "")</f>
        <v/>
      </c>
      <c r="C119">
        <f>IF(A119&lt;&gt;"", NF!C117, "")</f>
        <v/>
      </c>
      <c r="D119">
        <f>IF(A119&lt;&gt;"", NF!D117, "")</f>
        <v/>
      </c>
      <c r="E119">
        <f>IF(A119&lt;&gt;"", XLOOKUP(A119, Extrato!$D:$D, Extrato!$A:$A, ""), "")</f>
        <v/>
      </c>
      <c r="F119">
        <f>IF(A119&lt;&gt;"", XLOOKUP(A119, Extrato!$D:$D, Extrato!$B:$B, ""), "")</f>
        <v/>
      </c>
      <c r="G119">
        <f>IF(A119&lt;&gt;"", XLOOKUP(A119, Extrato!$D:$D, Extrato!$C:$C, ""), "")</f>
        <v/>
      </c>
      <c r="H119">
        <f>IF(A119="", "", IF(E119="", "Pendente", IF(C119=G119, "OK", "Valor divergente")))</f>
        <v/>
      </c>
    </row>
    <row r="120">
      <c r="A120">
        <f>IF(NF!A118&lt;&gt;"", NF!A118, "")</f>
        <v/>
      </c>
      <c r="B120">
        <f>IF(A120&lt;&gt;"", NF!B118, "")</f>
        <v/>
      </c>
      <c r="C120">
        <f>IF(A120&lt;&gt;"", NF!C118, "")</f>
        <v/>
      </c>
      <c r="D120">
        <f>IF(A120&lt;&gt;"", NF!D118, "")</f>
        <v/>
      </c>
      <c r="E120">
        <f>IF(A120&lt;&gt;"", XLOOKUP(A120, Extrato!$D:$D, Extrato!$A:$A, ""), "")</f>
        <v/>
      </c>
      <c r="F120">
        <f>IF(A120&lt;&gt;"", XLOOKUP(A120, Extrato!$D:$D, Extrato!$B:$B, ""), "")</f>
        <v/>
      </c>
      <c r="G120">
        <f>IF(A120&lt;&gt;"", XLOOKUP(A120, Extrato!$D:$D, Extrato!$C:$C, ""), "")</f>
        <v/>
      </c>
      <c r="H120">
        <f>IF(A120="", "", IF(E120="", "Pendente", IF(C120=G120, "OK", "Valor divergente")))</f>
        <v/>
      </c>
    </row>
    <row r="121">
      <c r="A121">
        <f>IF(NF!A119&lt;&gt;"", NF!A119, "")</f>
        <v/>
      </c>
      <c r="B121">
        <f>IF(A121&lt;&gt;"", NF!B119, "")</f>
        <v/>
      </c>
      <c r="C121">
        <f>IF(A121&lt;&gt;"", NF!C119, "")</f>
        <v/>
      </c>
      <c r="D121">
        <f>IF(A121&lt;&gt;"", NF!D119, "")</f>
        <v/>
      </c>
      <c r="E121">
        <f>IF(A121&lt;&gt;"", XLOOKUP(A121, Extrato!$D:$D, Extrato!$A:$A, ""), "")</f>
        <v/>
      </c>
      <c r="F121">
        <f>IF(A121&lt;&gt;"", XLOOKUP(A121, Extrato!$D:$D, Extrato!$B:$B, ""), "")</f>
        <v/>
      </c>
      <c r="G121">
        <f>IF(A121&lt;&gt;"", XLOOKUP(A121, Extrato!$D:$D, Extrato!$C:$C, ""), "")</f>
        <v/>
      </c>
      <c r="H121">
        <f>IF(A121="", "", IF(E121="", "Pendente", IF(C121=G121, "OK", "Valor divergente")))</f>
        <v/>
      </c>
    </row>
    <row r="122">
      <c r="A122">
        <f>IF(NF!A120&lt;&gt;"", NF!A120, "")</f>
        <v/>
      </c>
      <c r="B122">
        <f>IF(A122&lt;&gt;"", NF!B120, "")</f>
        <v/>
      </c>
      <c r="C122">
        <f>IF(A122&lt;&gt;"", NF!C120, "")</f>
        <v/>
      </c>
      <c r="D122">
        <f>IF(A122&lt;&gt;"", NF!D120, "")</f>
        <v/>
      </c>
      <c r="E122">
        <f>IF(A122&lt;&gt;"", XLOOKUP(A122, Extrato!$D:$D, Extrato!$A:$A, ""), "")</f>
        <v/>
      </c>
      <c r="F122">
        <f>IF(A122&lt;&gt;"", XLOOKUP(A122, Extrato!$D:$D, Extrato!$B:$B, ""), "")</f>
        <v/>
      </c>
      <c r="G122">
        <f>IF(A122&lt;&gt;"", XLOOKUP(A122, Extrato!$D:$D, Extrato!$C:$C, ""), "")</f>
        <v/>
      </c>
      <c r="H122">
        <f>IF(A122="", "", IF(E122="", "Pendente", IF(C122=G122, "OK", "Valor divergente")))</f>
        <v/>
      </c>
    </row>
    <row r="123">
      <c r="A123">
        <f>IF(NF!A121&lt;&gt;"", NF!A121, "")</f>
        <v/>
      </c>
      <c r="B123">
        <f>IF(A123&lt;&gt;"", NF!B121, "")</f>
        <v/>
      </c>
      <c r="C123">
        <f>IF(A123&lt;&gt;"", NF!C121, "")</f>
        <v/>
      </c>
      <c r="D123">
        <f>IF(A123&lt;&gt;"", NF!D121, "")</f>
        <v/>
      </c>
      <c r="E123">
        <f>IF(A123&lt;&gt;"", XLOOKUP(A123, Extrato!$D:$D, Extrato!$A:$A, ""), "")</f>
        <v/>
      </c>
      <c r="F123">
        <f>IF(A123&lt;&gt;"", XLOOKUP(A123, Extrato!$D:$D, Extrato!$B:$B, ""), "")</f>
        <v/>
      </c>
      <c r="G123">
        <f>IF(A123&lt;&gt;"", XLOOKUP(A123, Extrato!$D:$D, Extrato!$C:$C, ""), "")</f>
        <v/>
      </c>
      <c r="H123">
        <f>IF(A123="", "", IF(E123="", "Pendente", IF(C123=G123, "OK", "Valor divergente")))</f>
        <v/>
      </c>
    </row>
    <row r="124">
      <c r="A124">
        <f>IF(NF!A122&lt;&gt;"", NF!A122, "")</f>
        <v/>
      </c>
      <c r="B124">
        <f>IF(A124&lt;&gt;"", NF!B122, "")</f>
        <v/>
      </c>
      <c r="C124">
        <f>IF(A124&lt;&gt;"", NF!C122, "")</f>
        <v/>
      </c>
      <c r="D124">
        <f>IF(A124&lt;&gt;"", NF!D122, "")</f>
        <v/>
      </c>
      <c r="E124">
        <f>IF(A124&lt;&gt;"", XLOOKUP(A124, Extrato!$D:$D, Extrato!$A:$A, ""), "")</f>
        <v/>
      </c>
      <c r="F124">
        <f>IF(A124&lt;&gt;"", XLOOKUP(A124, Extrato!$D:$D, Extrato!$B:$B, ""), "")</f>
        <v/>
      </c>
      <c r="G124">
        <f>IF(A124&lt;&gt;"", XLOOKUP(A124, Extrato!$D:$D, Extrato!$C:$C, ""), "")</f>
        <v/>
      </c>
      <c r="H124">
        <f>IF(A124="", "", IF(E124="", "Pendente", IF(C124=G124, "OK", "Valor divergente")))</f>
        <v/>
      </c>
    </row>
    <row r="125">
      <c r="A125">
        <f>IF(NF!A123&lt;&gt;"", NF!A123, "")</f>
        <v/>
      </c>
      <c r="B125">
        <f>IF(A125&lt;&gt;"", NF!B123, "")</f>
        <v/>
      </c>
      <c r="C125">
        <f>IF(A125&lt;&gt;"", NF!C123, "")</f>
        <v/>
      </c>
      <c r="D125">
        <f>IF(A125&lt;&gt;"", NF!D123, "")</f>
        <v/>
      </c>
      <c r="E125">
        <f>IF(A125&lt;&gt;"", XLOOKUP(A125, Extrato!$D:$D, Extrato!$A:$A, ""), "")</f>
        <v/>
      </c>
      <c r="F125">
        <f>IF(A125&lt;&gt;"", XLOOKUP(A125, Extrato!$D:$D, Extrato!$B:$B, ""), "")</f>
        <v/>
      </c>
      <c r="G125">
        <f>IF(A125&lt;&gt;"", XLOOKUP(A125, Extrato!$D:$D, Extrato!$C:$C, ""), "")</f>
        <v/>
      </c>
      <c r="H125">
        <f>IF(A125="", "", IF(E125="", "Pendente", IF(C125=G125, "OK", "Valor divergente")))</f>
        <v/>
      </c>
    </row>
    <row r="126">
      <c r="A126">
        <f>IF(NF!A124&lt;&gt;"", NF!A124, "")</f>
        <v/>
      </c>
      <c r="B126">
        <f>IF(A126&lt;&gt;"", NF!B124, "")</f>
        <v/>
      </c>
      <c r="C126">
        <f>IF(A126&lt;&gt;"", NF!C124, "")</f>
        <v/>
      </c>
      <c r="D126">
        <f>IF(A126&lt;&gt;"", NF!D124, "")</f>
        <v/>
      </c>
      <c r="E126">
        <f>IF(A126&lt;&gt;"", XLOOKUP(A126, Extrato!$D:$D, Extrato!$A:$A, ""), "")</f>
        <v/>
      </c>
      <c r="F126">
        <f>IF(A126&lt;&gt;"", XLOOKUP(A126, Extrato!$D:$D, Extrato!$B:$B, ""), "")</f>
        <v/>
      </c>
      <c r="G126">
        <f>IF(A126&lt;&gt;"", XLOOKUP(A126, Extrato!$D:$D, Extrato!$C:$C, ""), "")</f>
        <v/>
      </c>
      <c r="H126">
        <f>IF(A126="", "", IF(E126="", "Pendente", IF(C126=G126, "OK", "Valor divergente")))</f>
        <v/>
      </c>
    </row>
    <row r="127">
      <c r="A127">
        <f>IF(NF!A125&lt;&gt;"", NF!A125, "")</f>
        <v/>
      </c>
      <c r="B127">
        <f>IF(A127&lt;&gt;"", NF!B125, "")</f>
        <v/>
      </c>
      <c r="C127">
        <f>IF(A127&lt;&gt;"", NF!C125, "")</f>
        <v/>
      </c>
      <c r="D127">
        <f>IF(A127&lt;&gt;"", NF!D125, "")</f>
        <v/>
      </c>
      <c r="E127">
        <f>IF(A127&lt;&gt;"", XLOOKUP(A127, Extrato!$D:$D, Extrato!$A:$A, ""), "")</f>
        <v/>
      </c>
      <c r="F127">
        <f>IF(A127&lt;&gt;"", XLOOKUP(A127, Extrato!$D:$D, Extrato!$B:$B, ""), "")</f>
        <v/>
      </c>
      <c r="G127">
        <f>IF(A127&lt;&gt;"", XLOOKUP(A127, Extrato!$D:$D, Extrato!$C:$C, ""), "")</f>
        <v/>
      </c>
      <c r="H127">
        <f>IF(A127="", "", IF(E127="", "Pendente", IF(C127=G127, "OK", "Valor divergente")))</f>
        <v/>
      </c>
    </row>
    <row r="128">
      <c r="A128">
        <f>IF(NF!A126&lt;&gt;"", NF!A126, "")</f>
        <v/>
      </c>
      <c r="B128">
        <f>IF(A128&lt;&gt;"", NF!B126, "")</f>
        <v/>
      </c>
      <c r="C128">
        <f>IF(A128&lt;&gt;"", NF!C126, "")</f>
        <v/>
      </c>
      <c r="D128">
        <f>IF(A128&lt;&gt;"", NF!D126, "")</f>
        <v/>
      </c>
      <c r="E128">
        <f>IF(A128&lt;&gt;"", XLOOKUP(A128, Extrato!$D:$D, Extrato!$A:$A, ""), "")</f>
        <v/>
      </c>
      <c r="F128">
        <f>IF(A128&lt;&gt;"", XLOOKUP(A128, Extrato!$D:$D, Extrato!$B:$B, ""), "")</f>
        <v/>
      </c>
      <c r="G128">
        <f>IF(A128&lt;&gt;"", XLOOKUP(A128, Extrato!$D:$D, Extrato!$C:$C, ""), "")</f>
        <v/>
      </c>
      <c r="H128">
        <f>IF(A128="", "", IF(E128="", "Pendente", IF(C128=G128, "OK", "Valor divergente")))</f>
        <v/>
      </c>
    </row>
    <row r="129">
      <c r="A129">
        <f>IF(NF!A127&lt;&gt;"", NF!A127, "")</f>
        <v/>
      </c>
      <c r="B129">
        <f>IF(A129&lt;&gt;"", NF!B127, "")</f>
        <v/>
      </c>
      <c r="C129">
        <f>IF(A129&lt;&gt;"", NF!C127, "")</f>
        <v/>
      </c>
      <c r="D129">
        <f>IF(A129&lt;&gt;"", NF!D127, "")</f>
        <v/>
      </c>
      <c r="E129">
        <f>IF(A129&lt;&gt;"", XLOOKUP(A129, Extrato!$D:$D, Extrato!$A:$A, ""), "")</f>
        <v/>
      </c>
      <c r="F129">
        <f>IF(A129&lt;&gt;"", XLOOKUP(A129, Extrato!$D:$D, Extrato!$B:$B, ""), "")</f>
        <v/>
      </c>
      <c r="G129">
        <f>IF(A129&lt;&gt;"", XLOOKUP(A129, Extrato!$D:$D, Extrato!$C:$C, ""), "")</f>
        <v/>
      </c>
      <c r="H129">
        <f>IF(A129="", "", IF(E129="", "Pendente", IF(C129=G129, "OK", "Valor divergente")))</f>
        <v/>
      </c>
    </row>
    <row r="130">
      <c r="A130">
        <f>IF(NF!A128&lt;&gt;"", NF!A128, "")</f>
        <v/>
      </c>
      <c r="B130">
        <f>IF(A130&lt;&gt;"", NF!B128, "")</f>
        <v/>
      </c>
      <c r="C130">
        <f>IF(A130&lt;&gt;"", NF!C128, "")</f>
        <v/>
      </c>
      <c r="D130">
        <f>IF(A130&lt;&gt;"", NF!D128, "")</f>
        <v/>
      </c>
      <c r="E130">
        <f>IF(A130&lt;&gt;"", XLOOKUP(A130, Extrato!$D:$D, Extrato!$A:$A, ""), "")</f>
        <v/>
      </c>
      <c r="F130">
        <f>IF(A130&lt;&gt;"", XLOOKUP(A130, Extrato!$D:$D, Extrato!$B:$B, ""), "")</f>
        <v/>
      </c>
      <c r="G130">
        <f>IF(A130&lt;&gt;"", XLOOKUP(A130, Extrato!$D:$D, Extrato!$C:$C, ""), "")</f>
        <v/>
      </c>
      <c r="H130">
        <f>IF(A130="", "", IF(E130="", "Pendente", IF(C130=G130, "OK", "Valor divergente")))</f>
        <v/>
      </c>
    </row>
    <row r="131">
      <c r="A131">
        <f>IF(NF!A129&lt;&gt;"", NF!A129, "")</f>
        <v/>
      </c>
      <c r="B131">
        <f>IF(A131&lt;&gt;"", NF!B129, "")</f>
        <v/>
      </c>
      <c r="C131">
        <f>IF(A131&lt;&gt;"", NF!C129, "")</f>
        <v/>
      </c>
      <c r="D131">
        <f>IF(A131&lt;&gt;"", NF!D129, "")</f>
        <v/>
      </c>
      <c r="E131">
        <f>IF(A131&lt;&gt;"", XLOOKUP(A131, Extrato!$D:$D, Extrato!$A:$A, ""), "")</f>
        <v/>
      </c>
      <c r="F131">
        <f>IF(A131&lt;&gt;"", XLOOKUP(A131, Extrato!$D:$D, Extrato!$B:$B, ""), "")</f>
        <v/>
      </c>
      <c r="G131">
        <f>IF(A131&lt;&gt;"", XLOOKUP(A131, Extrato!$D:$D, Extrato!$C:$C, ""), "")</f>
        <v/>
      </c>
      <c r="H131">
        <f>IF(A131="", "", IF(E131="", "Pendente", IF(C131=G131, "OK", "Valor divergente")))</f>
        <v/>
      </c>
    </row>
    <row r="132">
      <c r="A132">
        <f>IF(NF!A130&lt;&gt;"", NF!A130, "")</f>
        <v/>
      </c>
      <c r="B132">
        <f>IF(A132&lt;&gt;"", NF!B130, "")</f>
        <v/>
      </c>
      <c r="C132">
        <f>IF(A132&lt;&gt;"", NF!C130, "")</f>
        <v/>
      </c>
      <c r="D132">
        <f>IF(A132&lt;&gt;"", NF!D130, "")</f>
        <v/>
      </c>
      <c r="E132">
        <f>IF(A132&lt;&gt;"", XLOOKUP(A132, Extrato!$D:$D, Extrato!$A:$A, ""), "")</f>
        <v/>
      </c>
      <c r="F132">
        <f>IF(A132&lt;&gt;"", XLOOKUP(A132, Extrato!$D:$D, Extrato!$B:$B, ""), "")</f>
        <v/>
      </c>
      <c r="G132">
        <f>IF(A132&lt;&gt;"", XLOOKUP(A132, Extrato!$D:$D, Extrato!$C:$C, ""), "")</f>
        <v/>
      </c>
      <c r="H132">
        <f>IF(A132="", "", IF(E132="", "Pendente", IF(C132=G132, "OK", "Valor divergente")))</f>
        <v/>
      </c>
    </row>
    <row r="133">
      <c r="A133">
        <f>IF(NF!A131&lt;&gt;"", NF!A131, "")</f>
        <v/>
      </c>
      <c r="B133">
        <f>IF(A133&lt;&gt;"", NF!B131, "")</f>
        <v/>
      </c>
      <c r="C133">
        <f>IF(A133&lt;&gt;"", NF!C131, "")</f>
        <v/>
      </c>
      <c r="D133">
        <f>IF(A133&lt;&gt;"", NF!D131, "")</f>
        <v/>
      </c>
      <c r="E133">
        <f>IF(A133&lt;&gt;"", XLOOKUP(A133, Extrato!$D:$D, Extrato!$A:$A, ""), "")</f>
        <v/>
      </c>
      <c r="F133">
        <f>IF(A133&lt;&gt;"", XLOOKUP(A133, Extrato!$D:$D, Extrato!$B:$B, ""), "")</f>
        <v/>
      </c>
      <c r="G133">
        <f>IF(A133&lt;&gt;"", XLOOKUP(A133, Extrato!$D:$D, Extrato!$C:$C, ""), "")</f>
        <v/>
      </c>
      <c r="H133">
        <f>IF(A133="", "", IF(E133="", "Pendente", IF(C133=G133, "OK", "Valor divergente")))</f>
        <v/>
      </c>
    </row>
    <row r="134">
      <c r="A134">
        <f>IF(NF!A132&lt;&gt;"", NF!A132, "")</f>
        <v/>
      </c>
      <c r="B134">
        <f>IF(A134&lt;&gt;"", NF!B132, "")</f>
        <v/>
      </c>
      <c r="C134">
        <f>IF(A134&lt;&gt;"", NF!C132, "")</f>
        <v/>
      </c>
      <c r="D134">
        <f>IF(A134&lt;&gt;"", NF!D132, "")</f>
        <v/>
      </c>
      <c r="E134">
        <f>IF(A134&lt;&gt;"", XLOOKUP(A134, Extrato!$D:$D, Extrato!$A:$A, ""), "")</f>
        <v/>
      </c>
      <c r="F134">
        <f>IF(A134&lt;&gt;"", XLOOKUP(A134, Extrato!$D:$D, Extrato!$B:$B, ""), "")</f>
        <v/>
      </c>
      <c r="G134">
        <f>IF(A134&lt;&gt;"", XLOOKUP(A134, Extrato!$D:$D, Extrato!$C:$C, ""), "")</f>
        <v/>
      </c>
      <c r="H134">
        <f>IF(A134="", "", IF(E134="", "Pendente", IF(C134=G134, "OK", "Valor divergente")))</f>
        <v/>
      </c>
    </row>
    <row r="135">
      <c r="A135">
        <f>IF(NF!A133&lt;&gt;"", NF!A133, "")</f>
        <v/>
      </c>
      <c r="B135">
        <f>IF(A135&lt;&gt;"", NF!B133, "")</f>
        <v/>
      </c>
      <c r="C135">
        <f>IF(A135&lt;&gt;"", NF!C133, "")</f>
        <v/>
      </c>
      <c r="D135">
        <f>IF(A135&lt;&gt;"", NF!D133, "")</f>
        <v/>
      </c>
      <c r="E135">
        <f>IF(A135&lt;&gt;"", XLOOKUP(A135, Extrato!$D:$D, Extrato!$A:$A, ""), "")</f>
        <v/>
      </c>
      <c r="F135">
        <f>IF(A135&lt;&gt;"", XLOOKUP(A135, Extrato!$D:$D, Extrato!$B:$B, ""), "")</f>
        <v/>
      </c>
      <c r="G135">
        <f>IF(A135&lt;&gt;"", XLOOKUP(A135, Extrato!$D:$D, Extrato!$C:$C, ""), "")</f>
        <v/>
      </c>
      <c r="H135">
        <f>IF(A135="", "", IF(E135="", "Pendente", IF(C135=G135, "OK", "Valor divergente")))</f>
        <v/>
      </c>
    </row>
    <row r="136">
      <c r="A136">
        <f>IF(NF!A134&lt;&gt;"", NF!A134, "")</f>
        <v/>
      </c>
      <c r="B136">
        <f>IF(A136&lt;&gt;"", NF!B134, "")</f>
        <v/>
      </c>
      <c r="C136">
        <f>IF(A136&lt;&gt;"", NF!C134, "")</f>
        <v/>
      </c>
      <c r="D136">
        <f>IF(A136&lt;&gt;"", NF!D134, "")</f>
        <v/>
      </c>
      <c r="E136">
        <f>IF(A136&lt;&gt;"", XLOOKUP(A136, Extrato!$D:$D, Extrato!$A:$A, ""), "")</f>
        <v/>
      </c>
      <c r="F136">
        <f>IF(A136&lt;&gt;"", XLOOKUP(A136, Extrato!$D:$D, Extrato!$B:$B, ""), "")</f>
        <v/>
      </c>
      <c r="G136">
        <f>IF(A136&lt;&gt;"", XLOOKUP(A136, Extrato!$D:$D, Extrato!$C:$C, ""), "")</f>
        <v/>
      </c>
      <c r="H136">
        <f>IF(A136="", "", IF(E136="", "Pendente", IF(C136=G136, "OK", "Valor divergente")))</f>
        <v/>
      </c>
    </row>
    <row r="137">
      <c r="A137">
        <f>IF(NF!A135&lt;&gt;"", NF!A135, "")</f>
        <v/>
      </c>
      <c r="B137">
        <f>IF(A137&lt;&gt;"", NF!B135, "")</f>
        <v/>
      </c>
      <c r="C137">
        <f>IF(A137&lt;&gt;"", NF!C135, "")</f>
        <v/>
      </c>
      <c r="D137">
        <f>IF(A137&lt;&gt;"", NF!D135, "")</f>
        <v/>
      </c>
      <c r="E137">
        <f>IF(A137&lt;&gt;"", XLOOKUP(A137, Extrato!$D:$D, Extrato!$A:$A, ""), "")</f>
        <v/>
      </c>
      <c r="F137">
        <f>IF(A137&lt;&gt;"", XLOOKUP(A137, Extrato!$D:$D, Extrato!$B:$B, ""), "")</f>
        <v/>
      </c>
      <c r="G137">
        <f>IF(A137&lt;&gt;"", XLOOKUP(A137, Extrato!$D:$D, Extrato!$C:$C, ""), "")</f>
        <v/>
      </c>
      <c r="H137">
        <f>IF(A137="", "", IF(E137="", "Pendente", IF(C137=G137, "OK", "Valor divergente")))</f>
        <v/>
      </c>
    </row>
    <row r="138">
      <c r="A138">
        <f>IF(NF!A136&lt;&gt;"", NF!A136, "")</f>
        <v/>
      </c>
      <c r="B138">
        <f>IF(A138&lt;&gt;"", NF!B136, "")</f>
        <v/>
      </c>
      <c r="C138">
        <f>IF(A138&lt;&gt;"", NF!C136, "")</f>
        <v/>
      </c>
      <c r="D138">
        <f>IF(A138&lt;&gt;"", NF!D136, "")</f>
        <v/>
      </c>
      <c r="E138">
        <f>IF(A138&lt;&gt;"", XLOOKUP(A138, Extrato!$D:$D, Extrato!$A:$A, ""), "")</f>
        <v/>
      </c>
      <c r="F138">
        <f>IF(A138&lt;&gt;"", XLOOKUP(A138, Extrato!$D:$D, Extrato!$B:$B, ""), "")</f>
        <v/>
      </c>
      <c r="G138">
        <f>IF(A138&lt;&gt;"", XLOOKUP(A138, Extrato!$D:$D, Extrato!$C:$C, ""), "")</f>
        <v/>
      </c>
      <c r="H138">
        <f>IF(A138="", "", IF(E138="", "Pendente", IF(C138=G138, "OK", "Valor divergente")))</f>
        <v/>
      </c>
    </row>
    <row r="139">
      <c r="A139">
        <f>IF(NF!A137&lt;&gt;"", NF!A137, "")</f>
        <v/>
      </c>
      <c r="B139">
        <f>IF(A139&lt;&gt;"", NF!B137, "")</f>
        <v/>
      </c>
      <c r="C139">
        <f>IF(A139&lt;&gt;"", NF!C137, "")</f>
        <v/>
      </c>
      <c r="D139">
        <f>IF(A139&lt;&gt;"", NF!D137, "")</f>
        <v/>
      </c>
      <c r="E139">
        <f>IF(A139&lt;&gt;"", XLOOKUP(A139, Extrato!$D:$D, Extrato!$A:$A, ""), "")</f>
        <v/>
      </c>
      <c r="F139">
        <f>IF(A139&lt;&gt;"", XLOOKUP(A139, Extrato!$D:$D, Extrato!$B:$B, ""), "")</f>
        <v/>
      </c>
      <c r="G139">
        <f>IF(A139&lt;&gt;"", XLOOKUP(A139, Extrato!$D:$D, Extrato!$C:$C, ""), "")</f>
        <v/>
      </c>
      <c r="H139">
        <f>IF(A139="", "", IF(E139="", "Pendente", IF(C139=G139, "OK", "Valor divergente")))</f>
        <v/>
      </c>
    </row>
    <row r="140">
      <c r="A140">
        <f>IF(NF!A138&lt;&gt;"", NF!A138, "")</f>
        <v/>
      </c>
      <c r="B140">
        <f>IF(A140&lt;&gt;"", NF!B138, "")</f>
        <v/>
      </c>
      <c r="C140">
        <f>IF(A140&lt;&gt;"", NF!C138, "")</f>
        <v/>
      </c>
      <c r="D140">
        <f>IF(A140&lt;&gt;"", NF!D138, "")</f>
        <v/>
      </c>
      <c r="E140">
        <f>IF(A140&lt;&gt;"", XLOOKUP(A140, Extrato!$D:$D, Extrato!$A:$A, ""), "")</f>
        <v/>
      </c>
      <c r="F140">
        <f>IF(A140&lt;&gt;"", XLOOKUP(A140, Extrato!$D:$D, Extrato!$B:$B, ""), "")</f>
        <v/>
      </c>
      <c r="G140">
        <f>IF(A140&lt;&gt;"", XLOOKUP(A140, Extrato!$D:$D, Extrato!$C:$C, ""), "")</f>
        <v/>
      </c>
      <c r="H140">
        <f>IF(A140="", "", IF(E140="", "Pendente", IF(C140=G140, "OK", "Valor divergente")))</f>
        <v/>
      </c>
    </row>
    <row r="141">
      <c r="A141">
        <f>IF(NF!A139&lt;&gt;"", NF!A139, "")</f>
        <v/>
      </c>
      <c r="B141">
        <f>IF(A141&lt;&gt;"", NF!B139, "")</f>
        <v/>
      </c>
      <c r="C141">
        <f>IF(A141&lt;&gt;"", NF!C139, "")</f>
        <v/>
      </c>
      <c r="D141">
        <f>IF(A141&lt;&gt;"", NF!D139, "")</f>
        <v/>
      </c>
      <c r="E141">
        <f>IF(A141&lt;&gt;"", XLOOKUP(A141, Extrato!$D:$D, Extrato!$A:$A, ""), "")</f>
        <v/>
      </c>
      <c r="F141">
        <f>IF(A141&lt;&gt;"", XLOOKUP(A141, Extrato!$D:$D, Extrato!$B:$B, ""), "")</f>
        <v/>
      </c>
      <c r="G141">
        <f>IF(A141&lt;&gt;"", XLOOKUP(A141, Extrato!$D:$D, Extrato!$C:$C, ""), "")</f>
        <v/>
      </c>
      <c r="H141">
        <f>IF(A141="", "", IF(E141="", "Pendente", IF(C141=G141, "OK", "Valor divergente")))</f>
        <v/>
      </c>
    </row>
    <row r="142">
      <c r="A142">
        <f>IF(NF!A140&lt;&gt;"", NF!A140, "")</f>
        <v/>
      </c>
      <c r="B142">
        <f>IF(A142&lt;&gt;"", NF!B140, "")</f>
        <v/>
      </c>
      <c r="C142">
        <f>IF(A142&lt;&gt;"", NF!C140, "")</f>
        <v/>
      </c>
      <c r="D142">
        <f>IF(A142&lt;&gt;"", NF!D140, "")</f>
        <v/>
      </c>
      <c r="E142">
        <f>IF(A142&lt;&gt;"", XLOOKUP(A142, Extrato!$D:$D, Extrato!$A:$A, ""), "")</f>
        <v/>
      </c>
      <c r="F142">
        <f>IF(A142&lt;&gt;"", XLOOKUP(A142, Extrato!$D:$D, Extrato!$B:$B, ""), "")</f>
        <v/>
      </c>
      <c r="G142">
        <f>IF(A142&lt;&gt;"", XLOOKUP(A142, Extrato!$D:$D, Extrato!$C:$C, ""), "")</f>
        <v/>
      </c>
      <c r="H142">
        <f>IF(A142="", "", IF(E142="", "Pendente", IF(C142=G142, "OK", "Valor divergente")))</f>
        <v/>
      </c>
    </row>
    <row r="143">
      <c r="A143">
        <f>IF(NF!A141&lt;&gt;"", NF!A141, "")</f>
        <v/>
      </c>
      <c r="B143">
        <f>IF(A143&lt;&gt;"", NF!B141, "")</f>
        <v/>
      </c>
      <c r="C143">
        <f>IF(A143&lt;&gt;"", NF!C141, "")</f>
        <v/>
      </c>
      <c r="D143">
        <f>IF(A143&lt;&gt;"", NF!D141, "")</f>
        <v/>
      </c>
      <c r="E143">
        <f>IF(A143&lt;&gt;"", XLOOKUP(A143, Extrato!$D:$D, Extrato!$A:$A, ""), "")</f>
        <v/>
      </c>
      <c r="F143">
        <f>IF(A143&lt;&gt;"", XLOOKUP(A143, Extrato!$D:$D, Extrato!$B:$B, ""), "")</f>
        <v/>
      </c>
      <c r="G143">
        <f>IF(A143&lt;&gt;"", XLOOKUP(A143, Extrato!$D:$D, Extrato!$C:$C, ""), "")</f>
        <v/>
      </c>
      <c r="H143">
        <f>IF(A143="", "", IF(E143="", "Pendente", IF(C143=G143, "OK", "Valor divergente")))</f>
        <v/>
      </c>
    </row>
    <row r="144">
      <c r="A144">
        <f>IF(NF!A142&lt;&gt;"", NF!A142, "")</f>
        <v/>
      </c>
      <c r="B144">
        <f>IF(A144&lt;&gt;"", NF!B142, "")</f>
        <v/>
      </c>
      <c r="C144">
        <f>IF(A144&lt;&gt;"", NF!C142, "")</f>
        <v/>
      </c>
      <c r="D144">
        <f>IF(A144&lt;&gt;"", NF!D142, "")</f>
        <v/>
      </c>
      <c r="E144">
        <f>IF(A144&lt;&gt;"", XLOOKUP(A144, Extrato!$D:$D, Extrato!$A:$A, ""), "")</f>
        <v/>
      </c>
      <c r="F144">
        <f>IF(A144&lt;&gt;"", XLOOKUP(A144, Extrato!$D:$D, Extrato!$B:$B, ""), "")</f>
        <v/>
      </c>
      <c r="G144">
        <f>IF(A144&lt;&gt;"", XLOOKUP(A144, Extrato!$D:$D, Extrato!$C:$C, ""), "")</f>
        <v/>
      </c>
      <c r="H144">
        <f>IF(A144="", "", IF(E144="", "Pendente", IF(C144=G144, "OK", "Valor divergente")))</f>
        <v/>
      </c>
    </row>
    <row r="145">
      <c r="A145">
        <f>IF(NF!A143&lt;&gt;"", NF!A143, "")</f>
        <v/>
      </c>
      <c r="B145">
        <f>IF(A145&lt;&gt;"", NF!B143, "")</f>
        <v/>
      </c>
      <c r="C145">
        <f>IF(A145&lt;&gt;"", NF!C143, "")</f>
        <v/>
      </c>
      <c r="D145">
        <f>IF(A145&lt;&gt;"", NF!D143, "")</f>
        <v/>
      </c>
      <c r="E145">
        <f>IF(A145&lt;&gt;"", XLOOKUP(A145, Extrato!$D:$D, Extrato!$A:$A, ""), "")</f>
        <v/>
      </c>
      <c r="F145">
        <f>IF(A145&lt;&gt;"", XLOOKUP(A145, Extrato!$D:$D, Extrato!$B:$B, ""), "")</f>
        <v/>
      </c>
      <c r="G145">
        <f>IF(A145&lt;&gt;"", XLOOKUP(A145, Extrato!$D:$D, Extrato!$C:$C, ""), "")</f>
        <v/>
      </c>
      <c r="H145">
        <f>IF(A145="", "", IF(E145="", "Pendente", IF(C145=G145, "OK", "Valor divergente")))</f>
        <v/>
      </c>
    </row>
    <row r="146">
      <c r="A146">
        <f>IF(NF!A144&lt;&gt;"", NF!A144, "")</f>
        <v/>
      </c>
      <c r="B146">
        <f>IF(A146&lt;&gt;"", NF!B144, "")</f>
        <v/>
      </c>
      <c r="C146">
        <f>IF(A146&lt;&gt;"", NF!C144, "")</f>
        <v/>
      </c>
      <c r="D146">
        <f>IF(A146&lt;&gt;"", NF!D144, "")</f>
        <v/>
      </c>
      <c r="E146">
        <f>IF(A146&lt;&gt;"", XLOOKUP(A146, Extrato!$D:$D, Extrato!$A:$A, ""), "")</f>
        <v/>
      </c>
      <c r="F146">
        <f>IF(A146&lt;&gt;"", XLOOKUP(A146, Extrato!$D:$D, Extrato!$B:$B, ""), "")</f>
        <v/>
      </c>
      <c r="G146">
        <f>IF(A146&lt;&gt;"", XLOOKUP(A146, Extrato!$D:$D, Extrato!$C:$C, ""), "")</f>
        <v/>
      </c>
      <c r="H146">
        <f>IF(A146="", "", IF(E146="", "Pendente", IF(C146=G146, "OK", "Valor divergente")))</f>
        <v/>
      </c>
    </row>
    <row r="147">
      <c r="A147">
        <f>IF(NF!A145&lt;&gt;"", NF!A145, "")</f>
        <v/>
      </c>
      <c r="B147">
        <f>IF(A147&lt;&gt;"", NF!B145, "")</f>
        <v/>
      </c>
      <c r="C147">
        <f>IF(A147&lt;&gt;"", NF!C145, "")</f>
        <v/>
      </c>
      <c r="D147">
        <f>IF(A147&lt;&gt;"", NF!D145, "")</f>
        <v/>
      </c>
      <c r="E147">
        <f>IF(A147&lt;&gt;"", XLOOKUP(A147, Extrato!$D:$D, Extrato!$A:$A, ""), "")</f>
        <v/>
      </c>
      <c r="F147">
        <f>IF(A147&lt;&gt;"", XLOOKUP(A147, Extrato!$D:$D, Extrato!$B:$B, ""), "")</f>
        <v/>
      </c>
      <c r="G147">
        <f>IF(A147&lt;&gt;"", XLOOKUP(A147, Extrato!$D:$D, Extrato!$C:$C, ""), "")</f>
        <v/>
      </c>
      <c r="H147">
        <f>IF(A147="", "", IF(E147="", "Pendente", IF(C147=G147, "OK", "Valor divergente")))</f>
        <v/>
      </c>
    </row>
    <row r="148">
      <c r="A148">
        <f>IF(NF!A146&lt;&gt;"", NF!A146, "")</f>
        <v/>
      </c>
      <c r="B148">
        <f>IF(A148&lt;&gt;"", NF!B146, "")</f>
        <v/>
      </c>
      <c r="C148">
        <f>IF(A148&lt;&gt;"", NF!C146, "")</f>
        <v/>
      </c>
      <c r="D148">
        <f>IF(A148&lt;&gt;"", NF!D146, "")</f>
        <v/>
      </c>
      <c r="E148">
        <f>IF(A148&lt;&gt;"", XLOOKUP(A148, Extrato!$D:$D, Extrato!$A:$A, ""), "")</f>
        <v/>
      </c>
      <c r="F148">
        <f>IF(A148&lt;&gt;"", XLOOKUP(A148, Extrato!$D:$D, Extrato!$B:$B, ""), "")</f>
        <v/>
      </c>
      <c r="G148">
        <f>IF(A148&lt;&gt;"", XLOOKUP(A148, Extrato!$D:$D, Extrato!$C:$C, ""), "")</f>
        <v/>
      </c>
      <c r="H148">
        <f>IF(A148="", "", IF(E148="", "Pendente", IF(C148=G148, "OK", "Valor divergente")))</f>
        <v/>
      </c>
    </row>
    <row r="149">
      <c r="A149">
        <f>IF(NF!A147&lt;&gt;"", NF!A147, "")</f>
        <v/>
      </c>
      <c r="B149">
        <f>IF(A149&lt;&gt;"", NF!B147, "")</f>
        <v/>
      </c>
      <c r="C149">
        <f>IF(A149&lt;&gt;"", NF!C147, "")</f>
        <v/>
      </c>
      <c r="D149">
        <f>IF(A149&lt;&gt;"", NF!D147, "")</f>
        <v/>
      </c>
      <c r="E149">
        <f>IF(A149&lt;&gt;"", XLOOKUP(A149, Extrato!$D:$D, Extrato!$A:$A, ""), "")</f>
        <v/>
      </c>
      <c r="F149">
        <f>IF(A149&lt;&gt;"", XLOOKUP(A149, Extrato!$D:$D, Extrato!$B:$B, ""), "")</f>
        <v/>
      </c>
      <c r="G149">
        <f>IF(A149&lt;&gt;"", XLOOKUP(A149, Extrato!$D:$D, Extrato!$C:$C, ""), "")</f>
        <v/>
      </c>
      <c r="H149">
        <f>IF(A149="", "", IF(E149="", "Pendente", IF(C149=G149, "OK", "Valor divergente")))</f>
        <v/>
      </c>
    </row>
    <row r="150">
      <c r="A150">
        <f>IF(NF!A148&lt;&gt;"", NF!A148, "")</f>
        <v/>
      </c>
      <c r="B150">
        <f>IF(A150&lt;&gt;"", NF!B148, "")</f>
        <v/>
      </c>
      <c r="C150">
        <f>IF(A150&lt;&gt;"", NF!C148, "")</f>
        <v/>
      </c>
      <c r="D150">
        <f>IF(A150&lt;&gt;"", NF!D148, "")</f>
        <v/>
      </c>
      <c r="E150">
        <f>IF(A150&lt;&gt;"", XLOOKUP(A150, Extrato!$D:$D, Extrato!$A:$A, ""), "")</f>
        <v/>
      </c>
      <c r="F150">
        <f>IF(A150&lt;&gt;"", XLOOKUP(A150, Extrato!$D:$D, Extrato!$B:$B, ""), "")</f>
        <v/>
      </c>
      <c r="G150">
        <f>IF(A150&lt;&gt;"", XLOOKUP(A150, Extrato!$D:$D, Extrato!$C:$C, ""), "")</f>
        <v/>
      </c>
      <c r="H150">
        <f>IF(A150="", "", IF(E150="", "Pendente", IF(C150=G150, "OK", "Valor divergente")))</f>
        <v/>
      </c>
    </row>
    <row r="151">
      <c r="A151">
        <f>IF(NF!A149&lt;&gt;"", NF!A149, "")</f>
        <v/>
      </c>
      <c r="B151">
        <f>IF(A151&lt;&gt;"", NF!B149, "")</f>
        <v/>
      </c>
      <c r="C151">
        <f>IF(A151&lt;&gt;"", NF!C149, "")</f>
        <v/>
      </c>
      <c r="D151">
        <f>IF(A151&lt;&gt;"", NF!D149, "")</f>
        <v/>
      </c>
      <c r="E151">
        <f>IF(A151&lt;&gt;"", XLOOKUP(A151, Extrato!$D:$D, Extrato!$A:$A, ""), "")</f>
        <v/>
      </c>
      <c r="F151">
        <f>IF(A151&lt;&gt;"", XLOOKUP(A151, Extrato!$D:$D, Extrato!$B:$B, ""), "")</f>
        <v/>
      </c>
      <c r="G151">
        <f>IF(A151&lt;&gt;"", XLOOKUP(A151, Extrato!$D:$D, Extrato!$C:$C, ""), "")</f>
        <v/>
      </c>
      <c r="H151">
        <f>IF(A151="", "", IF(E151="", "Pendente", IF(C151=G151, "OK", "Valor divergente")))</f>
        <v/>
      </c>
    </row>
    <row r="152">
      <c r="A152">
        <f>IF(NF!A150&lt;&gt;"", NF!A150, "")</f>
        <v/>
      </c>
      <c r="B152">
        <f>IF(A152&lt;&gt;"", NF!B150, "")</f>
        <v/>
      </c>
      <c r="C152">
        <f>IF(A152&lt;&gt;"", NF!C150, "")</f>
        <v/>
      </c>
      <c r="D152">
        <f>IF(A152&lt;&gt;"", NF!D150, "")</f>
        <v/>
      </c>
      <c r="E152">
        <f>IF(A152&lt;&gt;"", XLOOKUP(A152, Extrato!$D:$D, Extrato!$A:$A, ""), "")</f>
        <v/>
      </c>
      <c r="F152">
        <f>IF(A152&lt;&gt;"", XLOOKUP(A152, Extrato!$D:$D, Extrato!$B:$B, ""), "")</f>
        <v/>
      </c>
      <c r="G152">
        <f>IF(A152&lt;&gt;"", XLOOKUP(A152, Extrato!$D:$D, Extrato!$C:$C, ""), "")</f>
        <v/>
      </c>
      <c r="H152">
        <f>IF(A152="", "", IF(E152="", "Pendente", IF(C152=G152, "OK", "Valor divergente")))</f>
        <v/>
      </c>
    </row>
    <row r="153">
      <c r="A153">
        <f>IF(NF!A151&lt;&gt;"", NF!A151, "")</f>
        <v/>
      </c>
      <c r="B153">
        <f>IF(A153&lt;&gt;"", NF!B151, "")</f>
        <v/>
      </c>
      <c r="C153">
        <f>IF(A153&lt;&gt;"", NF!C151, "")</f>
        <v/>
      </c>
      <c r="D153">
        <f>IF(A153&lt;&gt;"", NF!D151, "")</f>
        <v/>
      </c>
      <c r="E153">
        <f>IF(A153&lt;&gt;"", XLOOKUP(A153, Extrato!$D:$D, Extrato!$A:$A, ""), "")</f>
        <v/>
      </c>
      <c r="F153">
        <f>IF(A153&lt;&gt;"", XLOOKUP(A153, Extrato!$D:$D, Extrato!$B:$B, ""), "")</f>
        <v/>
      </c>
      <c r="G153">
        <f>IF(A153&lt;&gt;"", XLOOKUP(A153, Extrato!$D:$D, Extrato!$C:$C, ""), "")</f>
        <v/>
      </c>
      <c r="H153">
        <f>IF(A153="", "", IF(E153="", "Pendente", IF(C153=G153, "OK", "Valor divergente")))</f>
        <v/>
      </c>
    </row>
    <row r="154">
      <c r="A154">
        <f>IF(NF!A152&lt;&gt;"", NF!A152, "")</f>
        <v/>
      </c>
      <c r="B154">
        <f>IF(A154&lt;&gt;"", NF!B152, "")</f>
        <v/>
      </c>
      <c r="C154">
        <f>IF(A154&lt;&gt;"", NF!C152, "")</f>
        <v/>
      </c>
      <c r="D154">
        <f>IF(A154&lt;&gt;"", NF!D152, "")</f>
        <v/>
      </c>
      <c r="E154">
        <f>IF(A154&lt;&gt;"", XLOOKUP(A154, Extrato!$D:$D, Extrato!$A:$A, ""), "")</f>
        <v/>
      </c>
      <c r="F154">
        <f>IF(A154&lt;&gt;"", XLOOKUP(A154, Extrato!$D:$D, Extrato!$B:$B, ""), "")</f>
        <v/>
      </c>
      <c r="G154">
        <f>IF(A154&lt;&gt;"", XLOOKUP(A154, Extrato!$D:$D, Extrato!$C:$C, ""), "")</f>
        <v/>
      </c>
      <c r="H154">
        <f>IF(A154="", "", IF(E154="", "Pendente", IF(C154=G154, "OK", "Valor divergente")))</f>
        <v/>
      </c>
    </row>
    <row r="155">
      <c r="A155">
        <f>IF(NF!A153&lt;&gt;"", NF!A153, "")</f>
        <v/>
      </c>
      <c r="B155">
        <f>IF(A155&lt;&gt;"", NF!B153, "")</f>
        <v/>
      </c>
      <c r="C155">
        <f>IF(A155&lt;&gt;"", NF!C153, "")</f>
        <v/>
      </c>
      <c r="D155">
        <f>IF(A155&lt;&gt;"", NF!D153, "")</f>
        <v/>
      </c>
      <c r="E155">
        <f>IF(A155&lt;&gt;"", XLOOKUP(A155, Extrato!$D:$D, Extrato!$A:$A, ""), "")</f>
        <v/>
      </c>
      <c r="F155">
        <f>IF(A155&lt;&gt;"", XLOOKUP(A155, Extrato!$D:$D, Extrato!$B:$B, ""), "")</f>
        <v/>
      </c>
      <c r="G155">
        <f>IF(A155&lt;&gt;"", XLOOKUP(A155, Extrato!$D:$D, Extrato!$C:$C, ""), "")</f>
        <v/>
      </c>
      <c r="H155">
        <f>IF(A155="", "", IF(E155="", "Pendente", IF(C155=G155, "OK", "Valor divergente")))</f>
        <v/>
      </c>
    </row>
    <row r="156">
      <c r="A156">
        <f>IF(NF!A154&lt;&gt;"", NF!A154, "")</f>
        <v/>
      </c>
      <c r="B156">
        <f>IF(A156&lt;&gt;"", NF!B154, "")</f>
        <v/>
      </c>
      <c r="C156">
        <f>IF(A156&lt;&gt;"", NF!C154, "")</f>
        <v/>
      </c>
      <c r="D156">
        <f>IF(A156&lt;&gt;"", NF!D154, "")</f>
        <v/>
      </c>
      <c r="E156">
        <f>IF(A156&lt;&gt;"", XLOOKUP(A156, Extrato!$D:$D, Extrato!$A:$A, ""), "")</f>
        <v/>
      </c>
      <c r="F156">
        <f>IF(A156&lt;&gt;"", XLOOKUP(A156, Extrato!$D:$D, Extrato!$B:$B, ""), "")</f>
        <v/>
      </c>
      <c r="G156">
        <f>IF(A156&lt;&gt;"", XLOOKUP(A156, Extrato!$D:$D, Extrato!$C:$C, ""), "")</f>
        <v/>
      </c>
      <c r="H156">
        <f>IF(A156="", "", IF(E156="", "Pendente", IF(C156=G156, "OK", "Valor divergente")))</f>
        <v/>
      </c>
    </row>
    <row r="157">
      <c r="A157">
        <f>IF(NF!A155&lt;&gt;"", NF!A155, "")</f>
        <v/>
      </c>
      <c r="B157">
        <f>IF(A157&lt;&gt;"", NF!B155, "")</f>
        <v/>
      </c>
      <c r="C157">
        <f>IF(A157&lt;&gt;"", NF!C155, "")</f>
        <v/>
      </c>
      <c r="D157">
        <f>IF(A157&lt;&gt;"", NF!D155, "")</f>
        <v/>
      </c>
      <c r="E157">
        <f>IF(A157&lt;&gt;"", XLOOKUP(A157, Extrato!$D:$D, Extrato!$A:$A, ""), "")</f>
        <v/>
      </c>
      <c r="F157">
        <f>IF(A157&lt;&gt;"", XLOOKUP(A157, Extrato!$D:$D, Extrato!$B:$B, ""), "")</f>
        <v/>
      </c>
      <c r="G157">
        <f>IF(A157&lt;&gt;"", XLOOKUP(A157, Extrato!$D:$D, Extrato!$C:$C, ""), "")</f>
        <v/>
      </c>
      <c r="H157">
        <f>IF(A157="", "", IF(E157="", "Pendente", IF(C157=G157, "OK", "Valor divergente")))</f>
        <v/>
      </c>
    </row>
    <row r="158">
      <c r="A158">
        <f>IF(NF!A156&lt;&gt;"", NF!A156, "")</f>
        <v/>
      </c>
      <c r="B158">
        <f>IF(A158&lt;&gt;"", NF!B156, "")</f>
        <v/>
      </c>
      <c r="C158">
        <f>IF(A158&lt;&gt;"", NF!C156, "")</f>
        <v/>
      </c>
      <c r="D158">
        <f>IF(A158&lt;&gt;"", NF!D156, "")</f>
        <v/>
      </c>
      <c r="E158">
        <f>IF(A158&lt;&gt;"", XLOOKUP(A158, Extrato!$D:$D, Extrato!$A:$A, ""), "")</f>
        <v/>
      </c>
      <c r="F158">
        <f>IF(A158&lt;&gt;"", XLOOKUP(A158, Extrato!$D:$D, Extrato!$B:$B, ""), "")</f>
        <v/>
      </c>
      <c r="G158">
        <f>IF(A158&lt;&gt;"", XLOOKUP(A158, Extrato!$D:$D, Extrato!$C:$C, ""), "")</f>
        <v/>
      </c>
      <c r="H158">
        <f>IF(A158="", "", IF(E158="", "Pendente", IF(C158=G158, "OK", "Valor divergente")))</f>
        <v/>
      </c>
    </row>
    <row r="159">
      <c r="A159">
        <f>IF(NF!A157&lt;&gt;"", NF!A157, "")</f>
        <v/>
      </c>
      <c r="B159">
        <f>IF(A159&lt;&gt;"", NF!B157, "")</f>
        <v/>
      </c>
      <c r="C159">
        <f>IF(A159&lt;&gt;"", NF!C157, "")</f>
        <v/>
      </c>
      <c r="D159">
        <f>IF(A159&lt;&gt;"", NF!D157, "")</f>
        <v/>
      </c>
      <c r="E159">
        <f>IF(A159&lt;&gt;"", XLOOKUP(A159, Extrato!$D:$D, Extrato!$A:$A, ""), "")</f>
        <v/>
      </c>
      <c r="F159">
        <f>IF(A159&lt;&gt;"", XLOOKUP(A159, Extrato!$D:$D, Extrato!$B:$B, ""), "")</f>
        <v/>
      </c>
      <c r="G159">
        <f>IF(A159&lt;&gt;"", XLOOKUP(A159, Extrato!$D:$D, Extrato!$C:$C, ""), "")</f>
        <v/>
      </c>
      <c r="H159">
        <f>IF(A159="", "", IF(E159="", "Pendente", IF(C159=G159, "OK", "Valor divergente")))</f>
        <v/>
      </c>
    </row>
    <row r="160">
      <c r="A160">
        <f>IF(NF!A158&lt;&gt;"", NF!A158, "")</f>
        <v/>
      </c>
      <c r="B160">
        <f>IF(A160&lt;&gt;"", NF!B158, "")</f>
        <v/>
      </c>
      <c r="C160">
        <f>IF(A160&lt;&gt;"", NF!C158, "")</f>
        <v/>
      </c>
      <c r="D160">
        <f>IF(A160&lt;&gt;"", NF!D158, "")</f>
        <v/>
      </c>
      <c r="E160">
        <f>IF(A160&lt;&gt;"", XLOOKUP(A160, Extrato!$D:$D, Extrato!$A:$A, ""), "")</f>
        <v/>
      </c>
      <c r="F160">
        <f>IF(A160&lt;&gt;"", XLOOKUP(A160, Extrato!$D:$D, Extrato!$B:$B, ""), "")</f>
        <v/>
      </c>
      <c r="G160">
        <f>IF(A160&lt;&gt;"", XLOOKUP(A160, Extrato!$D:$D, Extrato!$C:$C, ""), "")</f>
        <v/>
      </c>
      <c r="H160">
        <f>IF(A160="", "", IF(E160="", "Pendente", IF(C160=G160, "OK", "Valor divergente")))</f>
        <v/>
      </c>
    </row>
    <row r="161">
      <c r="A161">
        <f>IF(NF!A159&lt;&gt;"", NF!A159, "")</f>
        <v/>
      </c>
      <c r="B161">
        <f>IF(A161&lt;&gt;"", NF!B159, "")</f>
        <v/>
      </c>
      <c r="C161">
        <f>IF(A161&lt;&gt;"", NF!C159, "")</f>
        <v/>
      </c>
      <c r="D161">
        <f>IF(A161&lt;&gt;"", NF!D159, "")</f>
        <v/>
      </c>
      <c r="E161">
        <f>IF(A161&lt;&gt;"", XLOOKUP(A161, Extrato!$D:$D, Extrato!$A:$A, ""), "")</f>
        <v/>
      </c>
      <c r="F161">
        <f>IF(A161&lt;&gt;"", XLOOKUP(A161, Extrato!$D:$D, Extrato!$B:$B, ""), "")</f>
        <v/>
      </c>
      <c r="G161">
        <f>IF(A161&lt;&gt;"", XLOOKUP(A161, Extrato!$D:$D, Extrato!$C:$C, ""), "")</f>
        <v/>
      </c>
      <c r="H161">
        <f>IF(A161="", "", IF(E161="", "Pendente", IF(C161=G161, "OK", "Valor divergente")))</f>
        <v/>
      </c>
    </row>
    <row r="162">
      <c r="A162">
        <f>IF(NF!A160&lt;&gt;"", NF!A160, "")</f>
        <v/>
      </c>
      <c r="B162">
        <f>IF(A162&lt;&gt;"", NF!B160, "")</f>
        <v/>
      </c>
      <c r="C162">
        <f>IF(A162&lt;&gt;"", NF!C160, "")</f>
        <v/>
      </c>
      <c r="D162">
        <f>IF(A162&lt;&gt;"", NF!D160, "")</f>
        <v/>
      </c>
      <c r="E162">
        <f>IF(A162&lt;&gt;"", XLOOKUP(A162, Extrato!$D:$D, Extrato!$A:$A, ""), "")</f>
        <v/>
      </c>
      <c r="F162">
        <f>IF(A162&lt;&gt;"", XLOOKUP(A162, Extrato!$D:$D, Extrato!$B:$B, ""), "")</f>
        <v/>
      </c>
      <c r="G162">
        <f>IF(A162&lt;&gt;"", XLOOKUP(A162, Extrato!$D:$D, Extrato!$C:$C, ""), "")</f>
        <v/>
      </c>
      <c r="H162">
        <f>IF(A162="", "", IF(E162="", "Pendente", IF(C162=G162, "OK", "Valor divergente")))</f>
        <v/>
      </c>
    </row>
    <row r="163">
      <c r="A163">
        <f>IF(NF!A161&lt;&gt;"", NF!A161, "")</f>
        <v/>
      </c>
      <c r="B163">
        <f>IF(A163&lt;&gt;"", NF!B161, "")</f>
        <v/>
      </c>
      <c r="C163">
        <f>IF(A163&lt;&gt;"", NF!C161, "")</f>
        <v/>
      </c>
      <c r="D163">
        <f>IF(A163&lt;&gt;"", NF!D161, "")</f>
        <v/>
      </c>
      <c r="E163">
        <f>IF(A163&lt;&gt;"", XLOOKUP(A163, Extrato!$D:$D, Extrato!$A:$A, ""), "")</f>
        <v/>
      </c>
      <c r="F163">
        <f>IF(A163&lt;&gt;"", XLOOKUP(A163, Extrato!$D:$D, Extrato!$B:$B, ""), "")</f>
        <v/>
      </c>
      <c r="G163">
        <f>IF(A163&lt;&gt;"", XLOOKUP(A163, Extrato!$D:$D, Extrato!$C:$C, ""), "")</f>
        <v/>
      </c>
      <c r="H163">
        <f>IF(A163="", "", IF(E163="", "Pendente", IF(C163=G163, "OK", "Valor divergente")))</f>
        <v/>
      </c>
    </row>
    <row r="164">
      <c r="A164">
        <f>IF(NF!A162&lt;&gt;"", NF!A162, "")</f>
        <v/>
      </c>
      <c r="B164">
        <f>IF(A164&lt;&gt;"", NF!B162, "")</f>
        <v/>
      </c>
      <c r="C164">
        <f>IF(A164&lt;&gt;"", NF!C162, "")</f>
        <v/>
      </c>
      <c r="D164">
        <f>IF(A164&lt;&gt;"", NF!D162, "")</f>
        <v/>
      </c>
      <c r="E164">
        <f>IF(A164&lt;&gt;"", XLOOKUP(A164, Extrato!$D:$D, Extrato!$A:$A, ""), "")</f>
        <v/>
      </c>
      <c r="F164">
        <f>IF(A164&lt;&gt;"", XLOOKUP(A164, Extrato!$D:$D, Extrato!$B:$B, ""), "")</f>
        <v/>
      </c>
      <c r="G164">
        <f>IF(A164&lt;&gt;"", XLOOKUP(A164, Extrato!$D:$D, Extrato!$C:$C, ""), "")</f>
        <v/>
      </c>
      <c r="H164">
        <f>IF(A164="", "", IF(E164="", "Pendente", IF(C164=G164, "OK", "Valor divergente")))</f>
        <v/>
      </c>
    </row>
    <row r="165">
      <c r="A165">
        <f>IF(NF!A163&lt;&gt;"", NF!A163, "")</f>
        <v/>
      </c>
      <c r="B165">
        <f>IF(A165&lt;&gt;"", NF!B163, "")</f>
        <v/>
      </c>
      <c r="C165">
        <f>IF(A165&lt;&gt;"", NF!C163, "")</f>
        <v/>
      </c>
      <c r="D165">
        <f>IF(A165&lt;&gt;"", NF!D163, "")</f>
        <v/>
      </c>
      <c r="E165">
        <f>IF(A165&lt;&gt;"", XLOOKUP(A165, Extrato!$D:$D, Extrato!$A:$A, ""), "")</f>
        <v/>
      </c>
      <c r="F165">
        <f>IF(A165&lt;&gt;"", XLOOKUP(A165, Extrato!$D:$D, Extrato!$B:$B, ""), "")</f>
        <v/>
      </c>
      <c r="G165">
        <f>IF(A165&lt;&gt;"", XLOOKUP(A165, Extrato!$D:$D, Extrato!$C:$C, ""), "")</f>
        <v/>
      </c>
      <c r="H165">
        <f>IF(A165="", "", IF(E165="", "Pendente", IF(C165=G165, "OK", "Valor divergente")))</f>
        <v/>
      </c>
    </row>
    <row r="166">
      <c r="A166">
        <f>IF(NF!A164&lt;&gt;"", NF!A164, "")</f>
        <v/>
      </c>
      <c r="B166">
        <f>IF(A166&lt;&gt;"", NF!B164, "")</f>
        <v/>
      </c>
      <c r="C166">
        <f>IF(A166&lt;&gt;"", NF!C164, "")</f>
        <v/>
      </c>
      <c r="D166">
        <f>IF(A166&lt;&gt;"", NF!D164, "")</f>
        <v/>
      </c>
      <c r="E166">
        <f>IF(A166&lt;&gt;"", XLOOKUP(A166, Extrato!$D:$D, Extrato!$A:$A, ""), "")</f>
        <v/>
      </c>
      <c r="F166">
        <f>IF(A166&lt;&gt;"", XLOOKUP(A166, Extrato!$D:$D, Extrato!$B:$B, ""), "")</f>
        <v/>
      </c>
      <c r="G166">
        <f>IF(A166&lt;&gt;"", XLOOKUP(A166, Extrato!$D:$D, Extrato!$C:$C, ""), "")</f>
        <v/>
      </c>
      <c r="H166">
        <f>IF(A166="", "", IF(E166="", "Pendente", IF(C166=G166, "OK", "Valor divergente")))</f>
        <v/>
      </c>
    </row>
    <row r="167">
      <c r="A167">
        <f>IF(NF!A165&lt;&gt;"", NF!A165, "")</f>
        <v/>
      </c>
      <c r="B167">
        <f>IF(A167&lt;&gt;"", NF!B165, "")</f>
        <v/>
      </c>
      <c r="C167">
        <f>IF(A167&lt;&gt;"", NF!C165, "")</f>
        <v/>
      </c>
      <c r="D167">
        <f>IF(A167&lt;&gt;"", NF!D165, "")</f>
        <v/>
      </c>
      <c r="E167">
        <f>IF(A167&lt;&gt;"", XLOOKUP(A167, Extrato!$D:$D, Extrato!$A:$A, ""), "")</f>
        <v/>
      </c>
      <c r="F167">
        <f>IF(A167&lt;&gt;"", XLOOKUP(A167, Extrato!$D:$D, Extrato!$B:$B, ""), "")</f>
        <v/>
      </c>
      <c r="G167">
        <f>IF(A167&lt;&gt;"", XLOOKUP(A167, Extrato!$D:$D, Extrato!$C:$C, ""), "")</f>
        <v/>
      </c>
      <c r="H167">
        <f>IF(A167="", "", IF(E167="", "Pendente", IF(C167=G167, "OK", "Valor divergente")))</f>
        <v/>
      </c>
    </row>
    <row r="168">
      <c r="A168">
        <f>IF(NF!A166&lt;&gt;"", NF!A166, "")</f>
        <v/>
      </c>
      <c r="B168">
        <f>IF(A168&lt;&gt;"", NF!B166, "")</f>
        <v/>
      </c>
      <c r="C168">
        <f>IF(A168&lt;&gt;"", NF!C166, "")</f>
        <v/>
      </c>
      <c r="D168">
        <f>IF(A168&lt;&gt;"", NF!D166, "")</f>
        <v/>
      </c>
      <c r="E168">
        <f>IF(A168&lt;&gt;"", XLOOKUP(A168, Extrato!$D:$D, Extrato!$A:$A, ""), "")</f>
        <v/>
      </c>
      <c r="F168">
        <f>IF(A168&lt;&gt;"", XLOOKUP(A168, Extrato!$D:$D, Extrato!$B:$B, ""), "")</f>
        <v/>
      </c>
      <c r="G168">
        <f>IF(A168&lt;&gt;"", XLOOKUP(A168, Extrato!$D:$D, Extrato!$C:$C, ""), "")</f>
        <v/>
      </c>
      <c r="H168">
        <f>IF(A168="", "", IF(E168="", "Pendente", IF(C168=G168, "OK", "Valor divergente")))</f>
        <v/>
      </c>
    </row>
    <row r="169">
      <c r="A169">
        <f>IF(NF!A167&lt;&gt;"", NF!A167, "")</f>
        <v/>
      </c>
      <c r="B169">
        <f>IF(A169&lt;&gt;"", NF!B167, "")</f>
        <v/>
      </c>
      <c r="C169">
        <f>IF(A169&lt;&gt;"", NF!C167, "")</f>
        <v/>
      </c>
      <c r="D169">
        <f>IF(A169&lt;&gt;"", NF!D167, "")</f>
        <v/>
      </c>
      <c r="E169">
        <f>IF(A169&lt;&gt;"", XLOOKUP(A169, Extrato!$D:$D, Extrato!$A:$A, ""), "")</f>
        <v/>
      </c>
      <c r="F169">
        <f>IF(A169&lt;&gt;"", XLOOKUP(A169, Extrato!$D:$D, Extrato!$B:$B, ""), "")</f>
        <v/>
      </c>
      <c r="G169">
        <f>IF(A169&lt;&gt;"", XLOOKUP(A169, Extrato!$D:$D, Extrato!$C:$C, ""), "")</f>
        <v/>
      </c>
      <c r="H169">
        <f>IF(A169="", "", IF(E169="", "Pendente", IF(C169=G169, "OK", "Valor divergente")))</f>
        <v/>
      </c>
    </row>
    <row r="170">
      <c r="A170">
        <f>IF(NF!A168&lt;&gt;"", NF!A168, "")</f>
        <v/>
      </c>
      <c r="B170">
        <f>IF(A170&lt;&gt;"", NF!B168, "")</f>
        <v/>
      </c>
      <c r="C170">
        <f>IF(A170&lt;&gt;"", NF!C168, "")</f>
        <v/>
      </c>
      <c r="D170">
        <f>IF(A170&lt;&gt;"", NF!D168, "")</f>
        <v/>
      </c>
      <c r="E170">
        <f>IF(A170&lt;&gt;"", XLOOKUP(A170, Extrato!$D:$D, Extrato!$A:$A, ""), "")</f>
        <v/>
      </c>
      <c r="F170">
        <f>IF(A170&lt;&gt;"", XLOOKUP(A170, Extrato!$D:$D, Extrato!$B:$B, ""), "")</f>
        <v/>
      </c>
      <c r="G170">
        <f>IF(A170&lt;&gt;"", XLOOKUP(A170, Extrato!$D:$D, Extrato!$C:$C, ""), "")</f>
        <v/>
      </c>
      <c r="H170">
        <f>IF(A170="", "", IF(E170="", "Pendente", IF(C170=G170, "OK", "Valor divergente")))</f>
        <v/>
      </c>
    </row>
    <row r="171">
      <c r="A171">
        <f>IF(NF!A169&lt;&gt;"", NF!A169, "")</f>
        <v/>
      </c>
      <c r="B171">
        <f>IF(A171&lt;&gt;"", NF!B169, "")</f>
        <v/>
      </c>
      <c r="C171">
        <f>IF(A171&lt;&gt;"", NF!C169, "")</f>
        <v/>
      </c>
      <c r="D171">
        <f>IF(A171&lt;&gt;"", NF!D169, "")</f>
        <v/>
      </c>
      <c r="E171">
        <f>IF(A171&lt;&gt;"", XLOOKUP(A171, Extrato!$D:$D, Extrato!$A:$A, ""), "")</f>
        <v/>
      </c>
      <c r="F171">
        <f>IF(A171&lt;&gt;"", XLOOKUP(A171, Extrato!$D:$D, Extrato!$B:$B, ""), "")</f>
        <v/>
      </c>
      <c r="G171">
        <f>IF(A171&lt;&gt;"", XLOOKUP(A171, Extrato!$D:$D, Extrato!$C:$C, ""), "")</f>
        <v/>
      </c>
      <c r="H171">
        <f>IF(A171="", "", IF(E171="", "Pendente", IF(C171=G171, "OK", "Valor divergente")))</f>
        <v/>
      </c>
    </row>
    <row r="172">
      <c r="A172">
        <f>IF(NF!A170&lt;&gt;"", NF!A170, "")</f>
        <v/>
      </c>
      <c r="B172">
        <f>IF(A172&lt;&gt;"", NF!B170, "")</f>
        <v/>
      </c>
      <c r="C172">
        <f>IF(A172&lt;&gt;"", NF!C170, "")</f>
        <v/>
      </c>
      <c r="D172">
        <f>IF(A172&lt;&gt;"", NF!D170, "")</f>
        <v/>
      </c>
      <c r="E172">
        <f>IF(A172&lt;&gt;"", XLOOKUP(A172, Extrato!$D:$D, Extrato!$A:$A, ""), "")</f>
        <v/>
      </c>
      <c r="F172">
        <f>IF(A172&lt;&gt;"", XLOOKUP(A172, Extrato!$D:$D, Extrato!$B:$B, ""), "")</f>
        <v/>
      </c>
      <c r="G172">
        <f>IF(A172&lt;&gt;"", XLOOKUP(A172, Extrato!$D:$D, Extrato!$C:$C, ""), "")</f>
        <v/>
      </c>
      <c r="H172">
        <f>IF(A172="", "", IF(E172="", "Pendente", IF(C172=G172, "OK", "Valor divergente")))</f>
        <v/>
      </c>
    </row>
    <row r="173">
      <c r="A173">
        <f>IF(NF!A171&lt;&gt;"", NF!A171, "")</f>
        <v/>
      </c>
      <c r="B173">
        <f>IF(A173&lt;&gt;"", NF!B171, "")</f>
        <v/>
      </c>
      <c r="C173">
        <f>IF(A173&lt;&gt;"", NF!C171, "")</f>
        <v/>
      </c>
      <c r="D173">
        <f>IF(A173&lt;&gt;"", NF!D171, "")</f>
        <v/>
      </c>
      <c r="E173">
        <f>IF(A173&lt;&gt;"", XLOOKUP(A173, Extrato!$D:$D, Extrato!$A:$A, ""), "")</f>
        <v/>
      </c>
      <c r="F173">
        <f>IF(A173&lt;&gt;"", XLOOKUP(A173, Extrato!$D:$D, Extrato!$B:$B, ""), "")</f>
        <v/>
      </c>
      <c r="G173">
        <f>IF(A173&lt;&gt;"", XLOOKUP(A173, Extrato!$D:$D, Extrato!$C:$C, ""), "")</f>
        <v/>
      </c>
      <c r="H173">
        <f>IF(A173="", "", IF(E173="", "Pendente", IF(C173=G173, "OK", "Valor divergente")))</f>
        <v/>
      </c>
    </row>
    <row r="174">
      <c r="A174">
        <f>IF(NF!A172&lt;&gt;"", NF!A172, "")</f>
        <v/>
      </c>
      <c r="B174">
        <f>IF(A174&lt;&gt;"", NF!B172, "")</f>
        <v/>
      </c>
      <c r="C174">
        <f>IF(A174&lt;&gt;"", NF!C172, "")</f>
        <v/>
      </c>
      <c r="D174">
        <f>IF(A174&lt;&gt;"", NF!D172, "")</f>
        <v/>
      </c>
      <c r="E174">
        <f>IF(A174&lt;&gt;"", XLOOKUP(A174, Extrato!$D:$D, Extrato!$A:$A, ""), "")</f>
        <v/>
      </c>
      <c r="F174">
        <f>IF(A174&lt;&gt;"", XLOOKUP(A174, Extrato!$D:$D, Extrato!$B:$B, ""), "")</f>
        <v/>
      </c>
      <c r="G174">
        <f>IF(A174&lt;&gt;"", XLOOKUP(A174, Extrato!$D:$D, Extrato!$C:$C, ""), "")</f>
        <v/>
      </c>
      <c r="H174">
        <f>IF(A174="", "", IF(E174="", "Pendente", IF(C174=G174, "OK", "Valor divergente")))</f>
        <v/>
      </c>
    </row>
    <row r="175">
      <c r="A175">
        <f>IF(NF!A173&lt;&gt;"", NF!A173, "")</f>
        <v/>
      </c>
      <c r="B175">
        <f>IF(A175&lt;&gt;"", NF!B173, "")</f>
        <v/>
      </c>
      <c r="C175">
        <f>IF(A175&lt;&gt;"", NF!C173, "")</f>
        <v/>
      </c>
      <c r="D175">
        <f>IF(A175&lt;&gt;"", NF!D173, "")</f>
        <v/>
      </c>
      <c r="E175">
        <f>IF(A175&lt;&gt;"", XLOOKUP(A175, Extrato!$D:$D, Extrato!$A:$A, ""), "")</f>
        <v/>
      </c>
      <c r="F175">
        <f>IF(A175&lt;&gt;"", XLOOKUP(A175, Extrato!$D:$D, Extrato!$B:$B, ""), "")</f>
        <v/>
      </c>
      <c r="G175">
        <f>IF(A175&lt;&gt;"", XLOOKUP(A175, Extrato!$D:$D, Extrato!$C:$C, ""), "")</f>
        <v/>
      </c>
      <c r="H175">
        <f>IF(A175="", "", IF(E175="", "Pendente", IF(C175=G175, "OK", "Valor divergente")))</f>
        <v/>
      </c>
    </row>
    <row r="176">
      <c r="A176">
        <f>IF(NF!A174&lt;&gt;"", NF!A174, "")</f>
        <v/>
      </c>
      <c r="B176">
        <f>IF(A176&lt;&gt;"", NF!B174, "")</f>
        <v/>
      </c>
      <c r="C176">
        <f>IF(A176&lt;&gt;"", NF!C174, "")</f>
        <v/>
      </c>
      <c r="D176">
        <f>IF(A176&lt;&gt;"", NF!D174, "")</f>
        <v/>
      </c>
      <c r="E176">
        <f>IF(A176&lt;&gt;"", XLOOKUP(A176, Extrato!$D:$D, Extrato!$A:$A, ""), "")</f>
        <v/>
      </c>
      <c r="F176">
        <f>IF(A176&lt;&gt;"", XLOOKUP(A176, Extrato!$D:$D, Extrato!$B:$B, ""), "")</f>
        <v/>
      </c>
      <c r="G176">
        <f>IF(A176&lt;&gt;"", XLOOKUP(A176, Extrato!$D:$D, Extrato!$C:$C, ""), "")</f>
        <v/>
      </c>
      <c r="H176">
        <f>IF(A176="", "", IF(E176="", "Pendente", IF(C176=G176, "OK", "Valor divergente")))</f>
        <v/>
      </c>
    </row>
    <row r="177">
      <c r="A177">
        <f>IF(NF!A175&lt;&gt;"", NF!A175, "")</f>
        <v/>
      </c>
      <c r="B177">
        <f>IF(A177&lt;&gt;"", NF!B175, "")</f>
        <v/>
      </c>
      <c r="C177">
        <f>IF(A177&lt;&gt;"", NF!C175, "")</f>
        <v/>
      </c>
      <c r="D177">
        <f>IF(A177&lt;&gt;"", NF!D175, "")</f>
        <v/>
      </c>
      <c r="E177">
        <f>IF(A177&lt;&gt;"", XLOOKUP(A177, Extrato!$D:$D, Extrato!$A:$A, ""), "")</f>
        <v/>
      </c>
      <c r="F177">
        <f>IF(A177&lt;&gt;"", XLOOKUP(A177, Extrato!$D:$D, Extrato!$B:$B, ""), "")</f>
        <v/>
      </c>
      <c r="G177">
        <f>IF(A177&lt;&gt;"", XLOOKUP(A177, Extrato!$D:$D, Extrato!$C:$C, ""), "")</f>
        <v/>
      </c>
      <c r="H177">
        <f>IF(A177="", "", IF(E177="", "Pendente", IF(C177=G177, "OK", "Valor divergente")))</f>
        <v/>
      </c>
    </row>
    <row r="178">
      <c r="A178">
        <f>IF(NF!A176&lt;&gt;"", NF!A176, "")</f>
        <v/>
      </c>
      <c r="B178">
        <f>IF(A178&lt;&gt;"", NF!B176, "")</f>
        <v/>
      </c>
      <c r="C178">
        <f>IF(A178&lt;&gt;"", NF!C176, "")</f>
        <v/>
      </c>
      <c r="D178">
        <f>IF(A178&lt;&gt;"", NF!D176, "")</f>
        <v/>
      </c>
      <c r="E178">
        <f>IF(A178&lt;&gt;"", XLOOKUP(A178, Extrato!$D:$D, Extrato!$A:$A, ""), "")</f>
        <v/>
      </c>
      <c r="F178">
        <f>IF(A178&lt;&gt;"", XLOOKUP(A178, Extrato!$D:$D, Extrato!$B:$B, ""), "")</f>
        <v/>
      </c>
      <c r="G178">
        <f>IF(A178&lt;&gt;"", XLOOKUP(A178, Extrato!$D:$D, Extrato!$C:$C, ""), "")</f>
        <v/>
      </c>
      <c r="H178">
        <f>IF(A178="", "", IF(E178="", "Pendente", IF(C178=G178, "OK", "Valor divergente")))</f>
        <v/>
      </c>
    </row>
    <row r="179">
      <c r="A179">
        <f>IF(NF!A177&lt;&gt;"", NF!A177, "")</f>
        <v/>
      </c>
      <c r="B179">
        <f>IF(A179&lt;&gt;"", NF!B177, "")</f>
        <v/>
      </c>
      <c r="C179">
        <f>IF(A179&lt;&gt;"", NF!C177, "")</f>
        <v/>
      </c>
      <c r="D179">
        <f>IF(A179&lt;&gt;"", NF!D177, "")</f>
        <v/>
      </c>
      <c r="E179">
        <f>IF(A179&lt;&gt;"", XLOOKUP(A179, Extrato!$D:$D, Extrato!$A:$A, ""), "")</f>
        <v/>
      </c>
      <c r="F179">
        <f>IF(A179&lt;&gt;"", XLOOKUP(A179, Extrato!$D:$D, Extrato!$B:$B, ""), "")</f>
        <v/>
      </c>
      <c r="G179">
        <f>IF(A179&lt;&gt;"", XLOOKUP(A179, Extrato!$D:$D, Extrato!$C:$C, ""), "")</f>
        <v/>
      </c>
      <c r="H179">
        <f>IF(A179="", "", IF(E179="", "Pendente", IF(C179=G179, "OK", "Valor divergente")))</f>
        <v/>
      </c>
    </row>
    <row r="180">
      <c r="A180">
        <f>IF(NF!A178&lt;&gt;"", NF!A178, "")</f>
        <v/>
      </c>
      <c r="B180">
        <f>IF(A180&lt;&gt;"", NF!B178, "")</f>
        <v/>
      </c>
      <c r="C180">
        <f>IF(A180&lt;&gt;"", NF!C178, "")</f>
        <v/>
      </c>
      <c r="D180">
        <f>IF(A180&lt;&gt;"", NF!D178, "")</f>
        <v/>
      </c>
      <c r="E180">
        <f>IF(A180&lt;&gt;"", XLOOKUP(A180, Extrato!$D:$D, Extrato!$A:$A, ""), "")</f>
        <v/>
      </c>
      <c r="F180">
        <f>IF(A180&lt;&gt;"", XLOOKUP(A180, Extrato!$D:$D, Extrato!$B:$B, ""), "")</f>
        <v/>
      </c>
      <c r="G180">
        <f>IF(A180&lt;&gt;"", XLOOKUP(A180, Extrato!$D:$D, Extrato!$C:$C, ""), "")</f>
        <v/>
      </c>
      <c r="H180">
        <f>IF(A180="", "", IF(E180="", "Pendente", IF(C180=G180, "OK", "Valor divergente")))</f>
        <v/>
      </c>
    </row>
    <row r="181">
      <c r="A181">
        <f>IF(NF!A179&lt;&gt;"", NF!A179, "")</f>
        <v/>
      </c>
      <c r="B181">
        <f>IF(A181&lt;&gt;"", NF!B179, "")</f>
        <v/>
      </c>
      <c r="C181">
        <f>IF(A181&lt;&gt;"", NF!C179, "")</f>
        <v/>
      </c>
      <c r="D181">
        <f>IF(A181&lt;&gt;"", NF!D179, "")</f>
        <v/>
      </c>
      <c r="E181">
        <f>IF(A181&lt;&gt;"", XLOOKUP(A181, Extrato!$D:$D, Extrato!$A:$A, ""), "")</f>
        <v/>
      </c>
      <c r="F181">
        <f>IF(A181&lt;&gt;"", XLOOKUP(A181, Extrato!$D:$D, Extrato!$B:$B, ""), "")</f>
        <v/>
      </c>
      <c r="G181">
        <f>IF(A181&lt;&gt;"", XLOOKUP(A181, Extrato!$D:$D, Extrato!$C:$C, ""), "")</f>
        <v/>
      </c>
      <c r="H181">
        <f>IF(A181="", "", IF(E181="", "Pendente", IF(C181=G181, "OK", "Valor divergente")))</f>
        <v/>
      </c>
    </row>
    <row r="182">
      <c r="A182">
        <f>IF(NF!A180&lt;&gt;"", NF!A180, "")</f>
        <v/>
      </c>
      <c r="B182">
        <f>IF(A182&lt;&gt;"", NF!B180, "")</f>
        <v/>
      </c>
      <c r="C182">
        <f>IF(A182&lt;&gt;"", NF!C180, "")</f>
        <v/>
      </c>
      <c r="D182">
        <f>IF(A182&lt;&gt;"", NF!D180, "")</f>
        <v/>
      </c>
      <c r="E182">
        <f>IF(A182&lt;&gt;"", XLOOKUP(A182, Extrato!$D:$D, Extrato!$A:$A, ""), "")</f>
        <v/>
      </c>
      <c r="F182">
        <f>IF(A182&lt;&gt;"", XLOOKUP(A182, Extrato!$D:$D, Extrato!$B:$B, ""), "")</f>
        <v/>
      </c>
      <c r="G182">
        <f>IF(A182&lt;&gt;"", XLOOKUP(A182, Extrato!$D:$D, Extrato!$C:$C, ""), "")</f>
        <v/>
      </c>
      <c r="H182">
        <f>IF(A182="", "", IF(E182="", "Pendente", IF(C182=G182, "OK", "Valor divergente")))</f>
        <v/>
      </c>
    </row>
    <row r="183">
      <c r="A183">
        <f>IF(NF!A181&lt;&gt;"", NF!A181, "")</f>
        <v/>
      </c>
      <c r="B183">
        <f>IF(A183&lt;&gt;"", NF!B181, "")</f>
        <v/>
      </c>
      <c r="C183">
        <f>IF(A183&lt;&gt;"", NF!C181, "")</f>
        <v/>
      </c>
      <c r="D183">
        <f>IF(A183&lt;&gt;"", NF!D181, "")</f>
        <v/>
      </c>
      <c r="E183">
        <f>IF(A183&lt;&gt;"", XLOOKUP(A183, Extrato!$D:$D, Extrato!$A:$A, ""), "")</f>
        <v/>
      </c>
      <c r="F183">
        <f>IF(A183&lt;&gt;"", XLOOKUP(A183, Extrato!$D:$D, Extrato!$B:$B, ""), "")</f>
        <v/>
      </c>
      <c r="G183">
        <f>IF(A183&lt;&gt;"", XLOOKUP(A183, Extrato!$D:$D, Extrato!$C:$C, ""), "")</f>
        <v/>
      </c>
      <c r="H183">
        <f>IF(A183="", "", IF(E183="", "Pendente", IF(C183=G183, "OK", "Valor divergente")))</f>
        <v/>
      </c>
    </row>
    <row r="184">
      <c r="A184">
        <f>IF(NF!A182&lt;&gt;"", NF!A182, "")</f>
        <v/>
      </c>
      <c r="B184">
        <f>IF(A184&lt;&gt;"", NF!B182, "")</f>
        <v/>
      </c>
      <c r="C184">
        <f>IF(A184&lt;&gt;"", NF!C182, "")</f>
        <v/>
      </c>
      <c r="D184">
        <f>IF(A184&lt;&gt;"", NF!D182, "")</f>
        <v/>
      </c>
      <c r="E184">
        <f>IF(A184&lt;&gt;"", XLOOKUP(A184, Extrato!$D:$D, Extrato!$A:$A, ""), "")</f>
        <v/>
      </c>
      <c r="F184">
        <f>IF(A184&lt;&gt;"", XLOOKUP(A184, Extrato!$D:$D, Extrato!$B:$B, ""), "")</f>
        <v/>
      </c>
      <c r="G184">
        <f>IF(A184&lt;&gt;"", XLOOKUP(A184, Extrato!$D:$D, Extrato!$C:$C, ""), "")</f>
        <v/>
      </c>
      <c r="H184">
        <f>IF(A184="", "", IF(E184="", "Pendente", IF(C184=G184, "OK", "Valor divergente")))</f>
        <v/>
      </c>
    </row>
    <row r="185">
      <c r="A185">
        <f>IF(NF!A183&lt;&gt;"", NF!A183, "")</f>
        <v/>
      </c>
      <c r="B185">
        <f>IF(A185&lt;&gt;"", NF!B183, "")</f>
        <v/>
      </c>
      <c r="C185">
        <f>IF(A185&lt;&gt;"", NF!C183, "")</f>
        <v/>
      </c>
      <c r="D185">
        <f>IF(A185&lt;&gt;"", NF!D183, "")</f>
        <v/>
      </c>
      <c r="E185">
        <f>IF(A185&lt;&gt;"", XLOOKUP(A185, Extrato!$D:$D, Extrato!$A:$A, ""), "")</f>
        <v/>
      </c>
      <c r="F185">
        <f>IF(A185&lt;&gt;"", XLOOKUP(A185, Extrato!$D:$D, Extrato!$B:$B, ""), "")</f>
        <v/>
      </c>
      <c r="G185">
        <f>IF(A185&lt;&gt;"", XLOOKUP(A185, Extrato!$D:$D, Extrato!$C:$C, ""), "")</f>
        <v/>
      </c>
      <c r="H185">
        <f>IF(A185="", "", IF(E185="", "Pendente", IF(C185=G185, "OK", "Valor divergente")))</f>
        <v/>
      </c>
    </row>
    <row r="186">
      <c r="A186">
        <f>IF(NF!A184&lt;&gt;"", NF!A184, "")</f>
        <v/>
      </c>
      <c r="B186">
        <f>IF(A186&lt;&gt;"", NF!B184, "")</f>
        <v/>
      </c>
      <c r="C186">
        <f>IF(A186&lt;&gt;"", NF!C184, "")</f>
        <v/>
      </c>
      <c r="D186">
        <f>IF(A186&lt;&gt;"", NF!D184, "")</f>
        <v/>
      </c>
      <c r="E186">
        <f>IF(A186&lt;&gt;"", XLOOKUP(A186, Extrato!$D:$D, Extrato!$A:$A, ""), "")</f>
        <v/>
      </c>
      <c r="F186">
        <f>IF(A186&lt;&gt;"", XLOOKUP(A186, Extrato!$D:$D, Extrato!$B:$B, ""), "")</f>
        <v/>
      </c>
      <c r="G186">
        <f>IF(A186&lt;&gt;"", XLOOKUP(A186, Extrato!$D:$D, Extrato!$C:$C, ""), "")</f>
        <v/>
      </c>
      <c r="H186">
        <f>IF(A186="", "", IF(E186="", "Pendente", IF(C186=G186, "OK", "Valor divergente")))</f>
        <v/>
      </c>
    </row>
    <row r="187">
      <c r="A187">
        <f>IF(NF!A185&lt;&gt;"", NF!A185, "")</f>
        <v/>
      </c>
      <c r="B187">
        <f>IF(A187&lt;&gt;"", NF!B185, "")</f>
        <v/>
      </c>
      <c r="C187">
        <f>IF(A187&lt;&gt;"", NF!C185, "")</f>
        <v/>
      </c>
      <c r="D187">
        <f>IF(A187&lt;&gt;"", NF!D185, "")</f>
        <v/>
      </c>
      <c r="E187">
        <f>IF(A187&lt;&gt;"", XLOOKUP(A187, Extrato!$D:$D, Extrato!$A:$A, ""), "")</f>
        <v/>
      </c>
      <c r="F187">
        <f>IF(A187&lt;&gt;"", XLOOKUP(A187, Extrato!$D:$D, Extrato!$B:$B, ""), "")</f>
        <v/>
      </c>
      <c r="G187">
        <f>IF(A187&lt;&gt;"", XLOOKUP(A187, Extrato!$D:$D, Extrato!$C:$C, ""), "")</f>
        <v/>
      </c>
      <c r="H187">
        <f>IF(A187="", "", IF(E187="", "Pendente", IF(C187=G187, "OK", "Valor divergente")))</f>
        <v/>
      </c>
    </row>
    <row r="188">
      <c r="A188">
        <f>IF(NF!A186&lt;&gt;"", NF!A186, "")</f>
        <v/>
      </c>
      <c r="B188">
        <f>IF(A188&lt;&gt;"", NF!B186, "")</f>
        <v/>
      </c>
      <c r="C188">
        <f>IF(A188&lt;&gt;"", NF!C186, "")</f>
        <v/>
      </c>
      <c r="D188">
        <f>IF(A188&lt;&gt;"", NF!D186, "")</f>
        <v/>
      </c>
      <c r="E188">
        <f>IF(A188&lt;&gt;"", XLOOKUP(A188, Extrato!$D:$D, Extrato!$A:$A, ""), "")</f>
        <v/>
      </c>
      <c r="F188">
        <f>IF(A188&lt;&gt;"", XLOOKUP(A188, Extrato!$D:$D, Extrato!$B:$B, ""), "")</f>
        <v/>
      </c>
      <c r="G188">
        <f>IF(A188&lt;&gt;"", XLOOKUP(A188, Extrato!$D:$D, Extrato!$C:$C, ""), "")</f>
        <v/>
      </c>
      <c r="H188">
        <f>IF(A188="", "", IF(E188="", "Pendente", IF(C188=G188, "OK", "Valor divergente")))</f>
        <v/>
      </c>
    </row>
    <row r="189">
      <c r="A189">
        <f>IF(NF!A187&lt;&gt;"", NF!A187, "")</f>
        <v/>
      </c>
      <c r="B189">
        <f>IF(A189&lt;&gt;"", NF!B187, "")</f>
        <v/>
      </c>
      <c r="C189">
        <f>IF(A189&lt;&gt;"", NF!C187, "")</f>
        <v/>
      </c>
      <c r="D189">
        <f>IF(A189&lt;&gt;"", NF!D187, "")</f>
        <v/>
      </c>
      <c r="E189">
        <f>IF(A189&lt;&gt;"", XLOOKUP(A189, Extrato!$D:$D, Extrato!$A:$A, ""), "")</f>
        <v/>
      </c>
      <c r="F189">
        <f>IF(A189&lt;&gt;"", XLOOKUP(A189, Extrato!$D:$D, Extrato!$B:$B, ""), "")</f>
        <v/>
      </c>
      <c r="G189">
        <f>IF(A189&lt;&gt;"", XLOOKUP(A189, Extrato!$D:$D, Extrato!$C:$C, ""), "")</f>
        <v/>
      </c>
      <c r="H189">
        <f>IF(A189="", "", IF(E189="", "Pendente", IF(C189=G189, "OK", "Valor divergente")))</f>
        <v/>
      </c>
    </row>
    <row r="190">
      <c r="A190">
        <f>IF(NF!A188&lt;&gt;"", NF!A188, "")</f>
        <v/>
      </c>
      <c r="B190">
        <f>IF(A190&lt;&gt;"", NF!B188, "")</f>
        <v/>
      </c>
      <c r="C190">
        <f>IF(A190&lt;&gt;"", NF!C188, "")</f>
        <v/>
      </c>
      <c r="D190">
        <f>IF(A190&lt;&gt;"", NF!D188, "")</f>
        <v/>
      </c>
      <c r="E190">
        <f>IF(A190&lt;&gt;"", XLOOKUP(A190, Extrato!$D:$D, Extrato!$A:$A, ""), "")</f>
        <v/>
      </c>
      <c r="F190">
        <f>IF(A190&lt;&gt;"", XLOOKUP(A190, Extrato!$D:$D, Extrato!$B:$B, ""), "")</f>
        <v/>
      </c>
      <c r="G190">
        <f>IF(A190&lt;&gt;"", XLOOKUP(A190, Extrato!$D:$D, Extrato!$C:$C, ""), "")</f>
        <v/>
      </c>
      <c r="H190">
        <f>IF(A190="", "", IF(E190="", "Pendente", IF(C190=G190, "OK", "Valor divergente")))</f>
        <v/>
      </c>
    </row>
    <row r="191">
      <c r="A191">
        <f>IF(NF!A189&lt;&gt;"", NF!A189, "")</f>
        <v/>
      </c>
      <c r="B191">
        <f>IF(A191&lt;&gt;"", NF!B189, "")</f>
        <v/>
      </c>
      <c r="C191">
        <f>IF(A191&lt;&gt;"", NF!C189, "")</f>
        <v/>
      </c>
      <c r="D191">
        <f>IF(A191&lt;&gt;"", NF!D189, "")</f>
        <v/>
      </c>
      <c r="E191">
        <f>IF(A191&lt;&gt;"", XLOOKUP(A191, Extrato!$D:$D, Extrato!$A:$A, ""), "")</f>
        <v/>
      </c>
      <c r="F191">
        <f>IF(A191&lt;&gt;"", XLOOKUP(A191, Extrato!$D:$D, Extrato!$B:$B, ""), "")</f>
        <v/>
      </c>
      <c r="G191">
        <f>IF(A191&lt;&gt;"", XLOOKUP(A191, Extrato!$D:$D, Extrato!$C:$C, ""), "")</f>
        <v/>
      </c>
      <c r="H191">
        <f>IF(A191="", "", IF(E191="", "Pendente", IF(C191=G191, "OK", "Valor divergente")))</f>
        <v/>
      </c>
    </row>
    <row r="192">
      <c r="A192">
        <f>IF(NF!A190&lt;&gt;"", NF!A190, "")</f>
        <v/>
      </c>
      <c r="B192">
        <f>IF(A192&lt;&gt;"", NF!B190, "")</f>
        <v/>
      </c>
      <c r="C192">
        <f>IF(A192&lt;&gt;"", NF!C190, "")</f>
        <v/>
      </c>
      <c r="D192">
        <f>IF(A192&lt;&gt;"", NF!D190, "")</f>
        <v/>
      </c>
      <c r="E192">
        <f>IF(A192&lt;&gt;"", XLOOKUP(A192, Extrato!$D:$D, Extrato!$A:$A, ""), "")</f>
        <v/>
      </c>
      <c r="F192">
        <f>IF(A192&lt;&gt;"", XLOOKUP(A192, Extrato!$D:$D, Extrato!$B:$B, ""), "")</f>
        <v/>
      </c>
      <c r="G192">
        <f>IF(A192&lt;&gt;"", XLOOKUP(A192, Extrato!$D:$D, Extrato!$C:$C, ""), "")</f>
        <v/>
      </c>
      <c r="H192">
        <f>IF(A192="", "", IF(E192="", "Pendente", IF(C192=G192, "OK", "Valor divergente")))</f>
        <v/>
      </c>
    </row>
    <row r="193">
      <c r="A193">
        <f>IF(NF!A191&lt;&gt;"", NF!A191, "")</f>
        <v/>
      </c>
      <c r="B193">
        <f>IF(A193&lt;&gt;"", NF!B191, "")</f>
        <v/>
      </c>
      <c r="C193">
        <f>IF(A193&lt;&gt;"", NF!C191, "")</f>
        <v/>
      </c>
      <c r="D193">
        <f>IF(A193&lt;&gt;"", NF!D191, "")</f>
        <v/>
      </c>
      <c r="E193">
        <f>IF(A193&lt;&gt;"", XLOOKUP(A193, Extrato!$D:$D, Extrato!$A:$A, ""), "")</f>
        <v/>
      </c>
      <c r="F193">
        <f>IF(A193&lt;&gt;"", XLOOKUP(A193, Extrato!$D:$D, Extrato!$B:$B, ""), "")</f>
        <v/>
      </c>
      <c r="G193">
        <f>IF(A193&lt;&gt;"", XLOOKUP(A193, Extrato!$D:$D, Extrato!$C:$C, ""), "")</f>
        <v/>
      </c>
      <c r="H193">
        <f>IF(A193="", "", IF(E193="", "Pendente", IF(C193=G193, "OK", "Valor divergente")))</f>
        <v/>
      </c>
    </row>
    <row r="194">
      <c r="A194">
        <f>IF(NF!A192&lt;&gt;"", NF!A192, "")</f>
        <v/>
      </c>
      <c r="B194">
        <f>IF(A194&lt;&gt;"", NF!B192, "")</f>
        <v/>
      </c>
      <c r="C194">
        <f>IF(A194&lt;&gt;"", NF!C192, "")</f>
        <v/>
      </c>
      <c r="D194">
        <f>IF(A194&lt;&gt;"", NF!D192, "")</f>
        <v/>
      </c>
      <c r="E194">
        <f>IF(A194&lt;&gt;"", XLOOKUP(A194, Extrato!$D:$D, Extrato!$A:$A, ""), "")</f>
        <v/>
      </c>
      <c r="F194">
        <f>IF(A194&lt;&gt;"", XLOOKUP(A194, Extrato!$D:$D, Extrato!$B:$B, ""), "")</f>
        <v/>
      </c>
      <c r="G194">
        <f>IF(A194&lt;&gt;"", XLOOKUP(A194, Extrato!$D:$D, Extrato!$C:$C, ""), "")</f>
        <v/>
      </c>
      <c r="H194">
        <f>IF(A194="", "", IF(E194="", "Pendente", IF(C194=G194, "OK", "Valor divergente")))</f>
        <v/>
      </c>
    </row>
    <row r="195">
      <c r="A195">
        <f>IF(NF!A193&lt;&gt;"", NF!A193, "")</f>
        <v/>
      </c>
      <c r="B195">
        <f>IF(A195&lt;&gt;"", NF!B193, "")</f>
        <v/>
      </c>
      <c r="C195">
        <f>IF(A195&lt;&gt;"", NF!C193, "")</f>
        <v/>
      </c>
      <c r="D195">
        <f>IF(A195&lt;&gt;"", NF!D193, "")</f>
        <v/>
      </c>
      <c r="E195">
        <f>IF(A195&lt;&gt;"", XLOOKUP(A195, Extrato!$D:$D, Extrato!$A:$A, ""), "")</f>
        <v/>
      </c>
      <c r="F195">
        <f>IF(A195&lt;&gt;"", XLOOKUP(A195, Extrato!$D:$D, Extrato!$B:$B, ""), "")</f>
        <v/>
      </c>
      <c r="G195">
        <f>IF(A195&lt;&gt;"", XLOOKUP(A195, Extrato!$D:$D, Extrato!$C:$C, ""), "")</f>
        <v/>
      </c>
      <c r="H195">
        <f>IF(A195="", "", IF(E195="", "Pendente", IF(C195=G195, "OK", "Valor divergente")))</f>
        <v/>
      </c>
    </row>
    <row r="196">
      <c r="A196">
        <f>IF(NF!A194&lt;&gt;"", NF!A194, "")</f>
        <v/>
      </c>
      <c r="B196">
        <f>IF(A196&lt;&gt;"", NF!B194, "")</f>
        <v/>
      </c>
      <c r="C196">
        <f>IF(A196&lt;&gt;"", NF!C194, "")</f>
        <v/>
      </c>
      <c r="D196">
        <f>IF(A196&lt;&gt;"", NF!D194, "")</f>
        <v/>
      </c>
      <c r="E196">
        <f>IF(A196&lt;&gt;"", XLOOKUP(A196, Extrato!$D:$D, Extrato!$A:$A, ""), "")</f>
        <v/>
      </c>
      <c r="F196">
        <f>IF(A196&lt;&gt;"", XLOOKUP(A196, Extrato!$D:$D, Extrato!$B:$B, ""), "")</f>
        <v/>
      </c>
      <c r="G196">
        <f>IF(A196&lt;&gt;"", XLOOKUP(A196, Extrato!$D:$D, Extrato!$C:$C, ""), "")</f>
        <v/>
      </c>
      <c r="H196">
        <f>IF(A196="", "", IF(E196="", "Pendente", IF(C196=G196, "OK", "Valor divergente")))</f>
        <v/>
      </c>
    </row>
    <row r="197">
      <c r="A197">
        <f>IF(NF!A195&lt;&gt;"", NF!A195, "")</f>
        <v/>
      </c>
      <c r="B197">
        <f>IF(A197&lt;&gt;"", NF!B195, "")</f>
        <v/>
      </c>
      <c r="C197">
        <f>IF(A197&lt;&gt;"", NF!C195, "")</f>
        <v/>
      </c>
      <c r="D197">
        <f>IF(A197&lt;&gt;"", NF!D195, "")</f>
        <v/>
      </c>
      <c r="E197">
        <f>IF(A197&lt;&gt;"", XLOOKUP(A197, Extrato!$D:$D, Extrato!$A:$A, ""), "")</f>
        <v/>
      </c>
      <c r="F197">
        <f>IF(A197&lt;&gt;"", XLOOKUP(A197, Extrato!$D:$D, Extrato!$B:$B, ""), "")</f>
        <v/>
      </c>
      <c r="G197">
        <f>IF(A197&lt;&gt;"", XLOOKUP(A197, Extrato!$D:$D, Extrato!$C:$C, ""), "")</f>
        <v/>
      </c>
      <c r="H197">
        <f>IF(A197="", "", IF(E197="", "Pendente", IF(C197=G197, "OK", "Valor divergente")))</f>
        <v/>
      </c>
    </row>
    <row r="198">
      <c r="A198">
        <f>IF(NF!A196&lt;&gt;"", NF!A196, "")</f>
        <v/>
      </c>
      <c r="B198">
        <f>IF(A198&lt;&gt;"", NF!B196, "")</f>
        <v/>
      </c>
      <c r="C198">
        <f>IF(A198&lt;&gt;"", NF!C196, "")</f>
        <v/>
      </c>
      <c r="D198">
        <f>IF(A198&lt;&gt;"", NF!D196, "")</f>
        <v/>
      </c>
      <c r="E198">
        <f>IF(A198&lt;&gt;"", XLOOKUP(A198, Extrato!$D:$D, Extrato!$A:$A, ""), "")</f>
        <v/>
      </c>
      <c r="F198">
        <f>IF(A198&lt;&gt;"", XLOOKUP(A198, Extrato!$D:$D, Extrato!$B:$B, ""), "")</f>
        <v/>
      </c>
      <c r="G198">
        <f>IF(A198&lt;&gt;"", XLOOKUP(A198, Extrato!$D:$D, Extrato!$C:$C, ""), "")</f>
        <v/>
      </c>
      <c r="H198">
        <f>IF(A198="", "", IF(E198="", "Pendente", IF(C198=G198, "OK", "Valor divergente")))</f>
        <v/>
      </c>
    </row>
    <row r="199">
      <c r="A199">
        <f>IF(NF!A197&lt;&gt;"", NF!A197, "")</f>
        <v/>
      </c>
      <c r="B199">
        <f>IF(A199&lt;&gt;"", NF!B197, "")</f>
        <v/>
      </c>
      <c r="C199">
        <f>IF(A199&lt;&gt;"", NF!C197, "")</f>
        <v/>
      </c>
      <c r="D199">
        <f>IF(A199&lt;&gt;"", NF!D197, "")</f>
        <v/>
      </c>
      <c r="E199">
        <f>IF(A199&lt;&gt;"", XLOOKUP(A199, Extrato!$D:$D, Extrato!$A:$A, ""), "")</f>
        <v/>
      </c>
      <c r="F199">
        <f>IF(A199&lt;&gt;"", XLOOKUP(A199, Extrato!$D:$D, Extrato!$B:$B, ""), "")</f>
        <v/>
      </c>
      <c r="G199">
        <f>IF(A199&lt;&gt;"", XLOOKUP(A199, Extrato!$D:$D, Extrato!$C:$C, ""), "")</f>
        <v/>
      </c>
      <c r="H199">
        <f>IF(A199="", "", IF(E199="", "Pendente", IF(C199=G199, "OK", "Valor divergente")))</f>
        <v/>
      </c>
    </row>
    <row r="200">
      <c r="A200">
        <f>IF(NF!A198&lt;&gt;"", NF!A198, "")</f>
        <v/>
      </c>
      <c r="B200">
        <f>IF(A200&lt;&gt;"", NF!B198, "")</f>
        <v/>
      </c>
      <c r="C200">
        <f>IF(A200&lt;&gt;"", NF!C198, "")</f>
        <v/>
      </c>
      <c r="D200">
        <f>IF(A200&lt;&gt;"", NF!D198, "")</f>
        <v/>
      </c>
      <c r="E200">
        <f>IF(A200&lt;&gt;"", XLOOKUP(A200, Extrato!$D:$D, Extrato!$A:$A, ""), "")</f>
        <v/>
      </c>
      <c r="F200">
        <f>IF(A200&lt;&gt;"", XLOOKUP(A200, Extrato!$D:$D, Extrato!$B:$B, ""), "")</f>
        <v/>
      </c>
      <c r="G200">
        <f>IF(A200&lt;&gt;"", XLOOKUP(A200, Extrato!$D:$D, Extrato!$C:$C, ""), "")</f>
        <v/>
      </c>
      <c r="H200">
        <f>IF(A200="", "", IF(E200="", "Pendente", IF(C200=G200, "OK", "Valor divergente")))</f>
        <v/>
      </c>
    </row>
    <row r="201">
      <c r="A201">
        <f>IF(NF!A199&lt;&gt;"", NF!A199, "")</f>
        <v/>
      </c>
      <c r="B201">
        <f>IF(A201&lt;&gt;"", NF!B199, "")</f>
        <v/>
      </c>
      <c r="C201">
        <f>IF(A201&lt;&gt;"", NF!C199, "")</f>
        <v/>
      </c>
      <c r="D201">
        <f>IF(A201&lt;&gt;"", NF!D199, "")</f>
        <v/>
      </c>
      <c r="E201">
        <f>IF(A201&lt;&gt;"", XLOOKUP(A201, Extrato!$D:$D, Extrato!$A:$A, ""), "")</f>
        <v/>
      </c>
      <c r="F201">
        <f>IF(A201&lt;&gt;"", XLOOKUP(A201, Extrato!$D:$D, Extrato!$B:$B, ""), "")</f>
        <v/>
      </c>
      <c r="G201">
        <f>IF(A201&lt;&gt;"", XLOOKUP(A201, Extrato!$D:$D, Extrato!$C:$C, ""), "")</f>
        <v/>
      </c>
      <c r="H201">
        <f>IF(A201="", "", IF(E201="", "Pendente", IF(C201=G201, "OK", "Valor divergente")))</f>
        <v/>
      </c>
    </row>
    <row r="202">
      <c r="A202">
        <f>IF(NF!A200&lt;&gt;"", NF!A200, "")</f>
        <v/>
      </c>
      <c r="B202">
        <f>IF(A202&lt;&gt;"", NF!B200, "")</f>
        <v/>
      </c>
      <c r="C202">
        <f>IF(A202&lt;&gt;"", NF!C200, "")</f>
        <v/>
      </c>
      <c r="D202">
        <f>IF(A202&lt;&gt;"", NF!D200, "")</f>
        <v/>
      </c>
      <c r="E202">
        <f>IF(A202&lt;&gt;"", XLOOKUP(A202, Extrato!$D:$D, Extrato!$A:$A, ""), "")</f>
        <v/>
      </c>
      <c r="F202">
        <f>IF(A202&lt;&gt;"", XLOOKUP(A202, Extrato!$D:$D, Extrato!$B:$B, ""), "")</f>
        <v/>
      </c>
      <c r="G202">
        <f>IF(A202&lt;&gt;"", XLOOKUP(A202, Extrato!$D:$D, Extrato!$C:$C, ""), "")</f>
        <v/>
      </c>
      <c r="H202">
        <f>IF(A202="", "", IF(E202="", "Pendente", IF(C202=G202, "OK", "Valor divergente")))</f>
        <v/>
      </c>
    </row>
    <row r="203">
      <c r="A203">
        <f>IF(NF!A201&lt;&gt;"", NF!A201, "")</f>
        <v/>
      </c>
      <c r="B203">
        <f>IF(A203&lt;&gt;"", NF!B201, "")</f>
        <v/>
      </c>
      <c r="C203">
        <f>IF(A203&lt;&gt;"", NF!C201, "")</f>
        <v/>
      </c>
      <c r="D203">
        <f>IF(A203&lt;&gt;"", NF!D201, "")</f>
        <v/>
      </c>
      <c r="E203">
        <f>IF(A203&lt;&gt;"", XLOOKUP(A203, Extrato!$D:$D, Extrato!$A:$A, ""), "")</f>
        <v/>
      </c>
      <c r="F203">
        <f>IF(A203&lt;&gt;"", XLOOKUP(A203, Extrato!$D:$D, Extrato!$B:$B, ""), "")</f>
        <v/>
      </c>
      <c r="G203">
        <f>IF(A203&lt;&gt;"", XLOOKUP(A203, Extrato!$D:$D, Extrato!$C:$C, ""), "")</f>
        <v/>
      </c>
      <c r="H203">
        <f>IF(A203="", "", IF(E203="", "Pendente", IF(C203=G203, "OK", "Valor divergente")))</f>
        <v/>
      </c>
    </row>
    <row r="204">
      <c r="A204">
        <f>IF(NF!A202&lt;&gt;"", NF!A202, "")</f>
        <v/>
      </c>
      <c r="B204">
        <f>IF(A204&lt;&gt;"", NF!B202, "")</f>
        <v/>
      </c>
      <c r="C204">
        <f>IF(A204&lt;&gt;"", NF!C202, "")</f>
        <v/>
      </c>
      <c r="D204">
        <f>IF(A204&lt;&gt;"", NF!D202, "")</f>
        <v/>
      </c>
      <c r="E204">
        <f>IF(A204&lt;&gt;"", XLOOKUP(A204, Extrato!$D:$D, Extrato!$A:$A, ""), "")</f>
        <v/>
      </c>
      <c r="F204">
        <f>IF(A204&lt;&gt;"", XLOOKUP(A204, Extrato!$D:$D, Extrato!$B:$B, ""), "")</f>
        <v/>
      </c>
      <c r="G204">
        <f>IF(A204&lt;&gt;"", XLOOKUP(A204, Extrato!$D:$D, Extrato!$C:$C, ""), "")</f>
        <v/>
      </c>
      <c r="H204">
        <f>IF(A204="", "", IF(E204="", "Pendente", IF(C204=G204, "OK", "Valor divergente")))</f>
        <v/>
      </c>
    </row>
    <row r="205">
      <c r="A205">
        <f>IF(NF!A203&lt;&gt;"", NF!A203, "")</f>
        <v/>
      </c>
      <c r="B205">
        <f>IF(A205&lt;&gt;"", NF!B203, "")</f>
        <v/>
      </c>
      <c r="C205">
        <f>IF(A205&lt;&gt;"", NF!C203, "")</f>
        <v/>
      </c>
      <c r="D205">
        <f>IF(A205&lt;&gt;"", NF!D203, "")</f>
        <v/>
      </c>
      <c r="E205">
        <f>IF(A205&lt;&gt;"", XLOOKUP(A205, Extrato!$D:$D, Extrato!$A:$A, ""), "")</f>
        <v/>
      </c>
      <c r="F205">
        <f>IF(A205&lt;&gt;"", XLOOKUP(A205, Extrato!$D:$D, Extrato!$B:$B, ""), "")</f>
        <v/>
      </c>
      <c r="G205">
        <f>IF(A205&lt;&gt;"", XLOOKUP(A205, Extrato!$D:$D, Extrato!$C:$C, ""), "")</f>
        <v/>
      </c>
      <c r="H205">
        <f>IF(A205="", "", IF(E205="", "Pendente", IF(C205=G205, "OK", "Valor divergente")))</f>
        <v/>
      </c>
    </row>
    <row r="206">
      <c r="A206">
        <f>IF(NF!A204&lt;&gt;"", NF!A204, "")</f>
        <v/>
      </c>
      <c r="B206">
        <f>IF(A206&lt;&gt;"", NF!B204, "")</f>
        <v/>
      </c>
      <c r="C206">
        <f>IF(A206&lt;&gt;"", NF!C204, "")</f>
        <v/>
      </c>
      <c r="D206">
        <f>IF(A206&lt;&gt;"", NF!D204, "")</f>
        <v/>
      </c>
      <c r="E206">
        <f>IF(A206&lt;&gt;"", XLOOKUP(A206, Extrato!$D:$D, Extrato!$A:$A, ""), "")</f>
        <v/>
      </c>
      <c r="F206">
        <f>IF(A206&lt;&gt;"", XLOOKUP(A206, Extrato!$D:$D, Extrato!$B:$B, ""), "")</f>
        <v/>
      </c>
      <c r="G206">
        <f>IF(A206&lt;&gt;"", XLOOKUP(A206, Extrato!$D:$D, Extrato!$C:$C, ""), "")</f>
        <v/>
      </c>
      <c r="H206">
        <f>IF(A206="", "", IF(E206="", "Pendente", IF(C206=G206, "OK", "Valor divergente")))</f>
        <v/>
      </c>
    </row>
    <row r="207">
      <c r="A207">
        <f>IF(NF!A205&lt;&gt;"", NF!A205, "")</f>
        <v/>
      </c>
      <c r="B207">
        <f>IF(A207&lt;&gt;"", NF!B205, "")</f>
        <v/>
      </c>
      <c r="C207">
        <f>IF(A207&lt;&gt;"", NF!C205, "")</f>
        <v/>
      </c>
      <c r="D207">
        <f>IF(A207&lt;&gt;"", NF!D205, "")</f>
        <v/>
      </c>
      <c r="E207">
        <f>IF(A207&lt;&gt;"", XLOOKUP(A207, Extrato!$D:$D, Extrato!$A:$A, ""), "")</f>
        <v/>
      </c>
      <c r="F207">
        <f>IF(A207&lt;&gt;"", XLOOKUP(A207, Extrato!$D:$D, Extrato!$B:$B, ""), "")</f>
        <v/>
      </c>
      <c r="G207">
        <f>IF(A207&lt;&gt;"", XLOOKUP(A207, Extrato!$D:$D, Extrato!$C:$C, ""), "")</f>
        <v/>
      </c>
      <c r="H207">
        <f>IF(A207="", "", IF(E207="", "Pendente", IF(C207=G207, "OK", "Valor divergente")))</f>
        <v/>
      </c>
    </row>
    <row r="208">
      <c r="A208">
        <f>IF(NF!A206&lt;&gt;"", NF!A206, "")</f>
        <v/>
      </c>
      <c r="B208">
        <f>IF(A208&lt;&gt;"", NF!B206, "")</f>
        <v/>
      </c>
      <c r="C208">
        <f>IF(A208&lt;&gt;"", NF!C206, "")</f>
        <v/>
      </c>
      <c r="D208">
        <f>IF(A208&lt;&gt;"", NF!D206, "")</f>
        <v/>
      </c>
      <c r="E208">
        <f>IF(A208&lt;&gt;"", XLOOKUP(A208, Extrato!$D:$D, Extrato!$A:$A, ""), "")</f>
        <v/>
      </c>
      <c r="F208">
        <f>IF(A208&lt;&gt;"", XLOOKUP(A208, Extrato!$D:$D, Extrato!$B:$B, ""), "")</f>
        <v/>
      </c>
      <c r="G208">
        <f>IF(A208&lt;&gt;"", XLOOKUP(A208, Extrato!$D:$D, Extrato!$C:$C, ""), "")</f>
        <v/>
      </c>
      <c r="H208">
        <f>IF(A208="", "", IF(E208="", "Pendente", IF(C208=G208, "OK", "Valor divergente")))</f>
        <v/>
      </c>
    </row>
    <row r="209">
      <c r="A209">
        <f>IF(NF!A207&lt;&gt;"", NF!A207, "")</f>
        <v/>
      </c>
      <c r="B209">
        <f>IF(A209&lt;&gt;"", NF!B207, "")</f>
        <v/>
      </c>
      <c r="C209">
        <f>IF(A209&lt;&gt;"", NF!C207, "")</f>
        <v/>
      </c>
      <c r="D209">
        <f>IF(A209&lt;&gt;"", NF!D207, "")</f>
        <v/>
      </c>
      <c r="E209">
        <f>IF(A209&lt;&gt;"", XLOOKUP(A209, Extrato!$D:$D, Extrato!$A:$A, ""), "")</f>
        <v/>
      </c>
      <c r="F209">
        <f>IF(A209&lt;&gt;"", XLOOKUP(A209, Extrato!$D:$D, Extrato!$B:$B, ""), "")</f>
        <v/>
      </c>
      <c r="G209">
        <f>IF(A209&lt;&gt;"", XLOOKUP(A209, Extrato!$D:$D, Extrato!$C:$C, ""), "")</f>
        <v/>
      </c>
      <c r="H209">
        <f>IF(A209="", "", IF(E209="", "Pendente", IF(C209=G209, "OK", "Valor divergente")))</f>
        <v/>
      </c>
    </row>
    <row r="210">
      <c r="A210">
        <f>IF(NF!A208&lt;&gt;"", NF!A208, "")</f>
        <v/>
      </c>
      <c r="B210">
        <f>IF(A210&lt;&gt;"", NF!B208, "")</f>
        <v/>
      </c>
      <c r="C210">
        <f>IF(A210&lt;&gt;"", NF!C208, "")</f>
        <v/>
      </c>
      <c r="D210">
        <f>IF(A210&lt;&gt;"", NF!D208, "")</f>
        <v/>
      </c>
      <c r="E210">
        <f>IF(A210&lt;&gt;"", XLOOKUP(A210, Extrato!$D:$D, Extrato!$A:$A, ""), "")</f>
        <v/>
      </c>
      <c r="F210">
        <f>IF(A210&lt;&gt;"", XLOOKUP(A210, Extrato!$D:$D, Extrato!$B:$B, ""), "")</f>
        <v/>
      </c>
      <c r="G210">
        <f>IF(A210&lt;&gt;"", XLOOKUP(A210, Extrato!$D:$D, Extrato!$C:$C, ""), "")</f>
        <v/>
      </c>
      <c r="H210">
        <f>IF(A210="", "", IF(E210="", "Pendente", IF(C210=G210, "OK", "Valor divergente")))</f>
        <v/>
      </c>
    </row>
    <row r="211">
      <c r="A211">
        <f>IF(NF!A209&lt;&gt;"", NF!A209, "")</f>
        <v/>
      </c>
      <c r="B211">
        <f>IF(A211&lt;&gt;"", NF!B209, "")</f>
        <v/>
      </c>
      <c r="C211">
        <f>IF(A211&lt;&gt;"", NF!C209, "")</f>
        <v/>
      </c>
      <c r="D211">
        <f>IF(A211&lt;&gt;"", NF!D209, "")</f>
        <v/>
      </c>
      <c r="E211">
        <f>IF(A211&lt;&gt;"", XLOOKUP(A211, Extrato!$D:$D, Extrato!$A:$A, ""), "")</f>
        <v/>
      </c>
      <c r="F211">
        <f>IF(A211&lt;&gt;"", XLOOKUP(A211, Extrato!$D:$D, Extrato!$B:$B, ""), "")</f>
        <v/>
      </c>
      <c r="G211">
        <f>IF(A211&lt;&gt;"", XLOOKUP(A211, Extrato!$D:$D, Extrato!$C:$C, ""), "")</f>
        <v/>
      </c>
      <c r="H211">
        <f>IF(A211="", "", IF(E211="", "Pendente", IF(C211=G211, "OK", "Valor divergente")))</f>
        <v/>
      </c>
    </row>
    <row r="212">
      <c r="A212">
        <f>IF(NF!A210&lt;&gt;"", NF!A210, "")</f>
        <v/>
      </c>
      <c r="B212">
        <f>IF(A212&lt;&gt;"", NF!B210, "")</f>
        <v/>
      </c>
      <c r="C212">
        <f>IF(A212&lt;&gt;"", NF!C210, "")</f>
        <v/>
      </c>
      <c r="D212">
        <f>IF(A212&lt;&gt;"", NF!D210, "")</f>
        <v/>
      </c>
      <c r="E212">
        <f>IF(A212&lt;&gt;"", XLOOKUP(A212, Extrato!$D:$D, Extrato!$A:$A, ""), "")</f>
        <v/>
      </c>
      <c r="F212">
        <f>IF(A212&lt;&gt;"", XLOOKUP(A212, Extrato!$D:$D, Extrato!$B:$B, ""), "")</f>
        <v/>
      </c>
      <c r="G212">
        <f>IF(A212&lt;&gt;"", XLOOKUP(A212, Extrato!$D:$D, Extrato!$C:$C, ""), "")</f>
        <v/>
      </c>
      <c r="H212">
        <f>IF(A212="", "", IF(E212="", "Pendente", IF(C212=G212, "OK", "Valor divergente")))</f>
        <v/>
      </c>
    </row>
    <row r="213">
      <c r="A213">
        <f>IF(NF!A211&lt;&gt;"", NF!A211, "")</f>
        <v/>
      </c>
      <c r="B213">
        <f>IF(A213&lt;&gt;"", NF!B211, "")</f>
        <v/>
      </c>
      <c r="C213">
        <f>IF(A213&lt;&gt;"", NF!C211, "")</f>
        <v/>
      </c>
      <c r="D213">
        <f>IF(A213&lt;&gt;"", NF!D211, "")</f>
        <v/>
      </c>
      <c r="E213">
        <f>IF(A213&lt;&gt;"", XLOOKUP(A213, Extrato!$D:$D, Extrato!$A:$A, ""), "")</f>
        <v/>
      </c>
      <c r="F213">
        <f>IF(A213&lt;&gt;"", XLOOKUP(A213, Extrato!$D:$D, Extrato!$B:$B, ""), "")</f>
        <v/>
      </c>
      <c r="G213">
        <f>IF(A213&lt;&gt;"", XLOOKUP(A213, Extrato!$D:$D, Extrato!$C:$C, ""), "")</f>
        <v/>
      </c>
      <c r="H213">
        <f>IF(A213="", "", IF(E213="", "Pendente", IF(C213=G213, "OK", "Valor divergente")))</f>
        <v/>
      </c>
    </row>
    <row r="214">
      <c r="A214">
        <f>IF(NF!A212&lt;&gt;"", NF!A212, "")</f>
        <v/>
      </c>
      <c r="B214">
        <f>IF(A214&lt;&gt;"", NF!B212, "")</f>
        <v/>
      </c>
      <c r="C214">
        <f>IF(A214&lt;&gt;"", NF!C212, "")</f>
        <v/>
      </c>
      <c r="D214">
        <f>IF(A214&lt;&gt;"", NF!D212, "")</f>
        <v/>
      </c>
      <c r="E214">
        <f>IF(A214&lt;&gt;"", XLOOKUP(A214, Extrato!$D:$D, Extrato!$A:$A, ""), "")</f>
        <v/>
      </c>
      <c r="F214">
        <f>IF(A214&lt;&gt;"", XLOOKUP(A214, Extrato!$D:$D, Extrato!$B:$B, ""), "")</f>
        <v/>
      </c>
      <c r="G214">
        <f>IF(A214&lt;&gt;"", XLOOKUP(A214, Extrato!$D:$D, Extrato!$C:$C, ""), "")</f>
        <v/>
      </c>
      <c r="H214">
        <f>IF(A214="", "", IF(E214="", "Pendente", IF(C214=G214, "OK", "Valor divergente")))</f>
        <v/>
      </c>
    </row>
    <row r="215">
      <c r="A215">
        <f>IF(NF!A213&lt;&gt;"", NF!A213, "")</f>
        <v/>
      </c>
      <c r="B215">
        <f>IF(A215&lt;&gt;"", NF!B213, "")</f>
        <v/>
      </c>
      <c r="C215">
        <f>IF(A215&lt;&gt;"", NF!C213, "")</f>
        <v/>
      </c>
      <c r="D215">
        <f>IF(A215&lt;&gt;"", NF!D213, "")</f>
        <v/>
      </c>
      <c r="E215">
        <f>IF(A215&lt;&gt;"", XLOOKUP(A215, Extrato!$D:$D, Extrato!$A:$A, ""), "")</f>
        <v/>
      </c>
      <c r="F215">
        <f>IF(A215&lt;&gt;"", XLOOKUP(A215, Extrato!$D:$D, Extrato!$B:$B, ""), "")</f>
        <v/>
      </c>
      <c r="G215">
        <f>IF(A215&lt;&gt;"", XLOOKUP(A215, Extrato!$D:$D, Extrato!$C:$C, ""), "")</f>
        <v/>
      </c>
      <c r="H215">
        <f>IF(A215="", "", IF(E215="", "Pendente", IF(C215=G215, "OK", "Valor divergente")))</f>
        <v/>
      </c>
    </row>
    <row r="216">
      <c r="A216">
        <f>IF(NF!A214&lt;&gt;"", NF!A214, "")</f>
        <v/>
      </c>
      <c r="B216">
        <f>IF(A216&lt;&gt;"", NF!B214, "")</f>
        <v/>
      </c>
      <c r="C216">
        <f>IF(A216&lt;&gt;"", NF!C214, "")</f>
        <v/>
      </c>
      <c r="D216">
        <f>IF(A216&lt;&gt;"", NF!D214, "")</f>
        <v/>
      </c>
      <c r="E216">
        <f>IF(A216&lt;&gt;"", XLOOKUP(A216, Extrato!$D:$D, Extrato!$A:$A, ""), "")</f>
        <v/>
      </c>
      <c r="F216">
        <f>IF(A216&lt;&gt;"", XLOOKUP(A216, Extrato!$D:$D, Extrato!$B:$B, ""), "")</f>
        <v/>
      </c>
      <c r="G216">
        <f>IF(A216&lt;&gt;"", XLOOKUP(A216, Extrato!$D:$D, Extrato!$C:$C, ""), "")</f>
        <v/>
      </c>
      <c r="H216">
        <f>IF(A216="", "", IF(E216="", "Pendente", IF(C216=G216, "OK", "Valor divergente")))</f>
        <v/>
      </c>
    </row>
    <row r="217">
      <c r="A217">
        <f>IF(NF!A215&lt;&gt;"", NF!A215, "")</f>
        <v/>
      </c>
      <c r="B217">
        <f>IF(A217&lt;&gt;"", NF!B215, "")</f>
        <v/>
      </c>
      <c r="C217">
        <f>IF(A217&lt;&gt;"", NF!C215, "")</f>
        <v/>
      </c>
      <c r="D217">
        <f>IF(A217&lt;&gt;"", NF!D215, "")</f>
        <v/>
      </c>
      <c r="E217">
        <f>IF(A217&lt;&gt;"", XLOOKUP(A217, Extrato!$D:$D, Extrato!$A:$A, ""), "")</f>
        <v/>
      </c>
      <c r="F217">
        <f>IF(A217&lt;&gt;"", XLOOKUP(A217, Extrato!$D:$D, Extrato!$B:$B, ""), "")</f>
        <v/>
      </c>
      <c r="G217">
        <f>IF(A217&lt;&gt;"", XLOOKUP(A217, Extrato!$D:$D, Extrato!$C:$C, ""), "")</f>
        <v/>
      </c>
      <c r="H217">
        <f>IF(A217="", "", IF(E217="", "Pendente", IF(C217=G217, "OK", "Valor divergente")))</f>
        <v/>
      </c>
    </row>
    <row r="218">
      <c r="A218">
        <f>IF(NF!A216&lt;&gt;"", NF!A216, "")</f>
        <v/>
      </c>
      <c r="B218">
        <f>IF(A218&lt;&gt;"", NF!B216, "")</f>
        <v/>
      </c>
      <c r="C218">
        <f>IF(A218&lt;&gt;"", NF!C216, "")</f>
        <v/>
      </c>
      <c r="D218">
        <f>IF(A218&lt;&gt;"", NF!D216, "")</f>
        <v/>
      </c>
      <c r="E218">
        <f>IF(A218&lt;&gt;"", XLOOKUP(A218, Extrato!$D:$D, Extrato!$A:$A, ""), "")</f>
        <v/>
      </c>
      <c r="F218">
        <f>IF(A218&lt;&gt;"", XLOOKUP(A218, Extrato!$D:$D, Extrato!$B:$B, ""), "")</f>
        <v/>
      </c>
      <c r="G218">
        <f>IF(A218&lt;&gt;"", XLOOKUP(A218, Extrato!$D:$D, Extrato!$C:$C, ""), "")</f>
        <v/>
      </c>
      <c r="H218">
        <f>IF(A218="", "", IF(E218="", "Pendente", IF(C218=G218, "OK", "Valor divergente")))</f>
        <v/>
      </c>
    </row>
    <row r="219">
      <c r="A219">
        <f>IF(NF!A217&lt;&gt;"", NF!A217, "")</f>
        <v/>
      </c>
      <c r="B219">
        <f>IF(A219&lt;&gt;"", NF!B217, "")</f>
        <v/>
      </c>
      <c r="C219">
        <f>IF(A219&lt;&gt;"", NF!C217, "")</f>
        <v/>
      </c>
      <c r="D219">
        <f>IF(A219&lt;&gt;"", NF!D217, "")</f>
        <v/>
      </c>
      <c r="E219">
        <f>IF(A219&lt;&gt;"", XLOOKUP(A219, Extrato!$D:$D, Extrato!$A:$A, ""), "")</f>
        <v/>
      </c>
      <c r="F219">
        <f>IF(A219&lt;&gt;"", XLOOKUP(A219, Extrato!$D:$D, Extrato!$B:$B, ""), "")</f>
        <v/>
      </c>
      <c r="G219">
        <f>IF(A219&lt;&gt;"", XLOOKUP(A219, Extrato!$D:$D, Extrato!$C:$C, ""), "")</f>
        <v/>
      </c>
      <c r="H219">
        <f>IF(A219="", "", IF(E219="", "Pendente", IF(C219=G219, "OK", "Valor divergente")))</f>
        <v/>
      </c>
    </row>
    <row r="220">
      <c r="A220">
        <f>IF(NF!A218&lt;&gt;"", NF!A218, "")</f>
        <v/>
      </c>
      <c r="B220">
        <f>IF(A220&lt;&gt;"", NF!B218, "")</f>
        <v/>
      </c>
      <c r="C220">
        <f>IF(A220&lt;&gt;"", NF!C218, "")</f>
        <v/>
      </c>
      <c r="D220">
        <f>IF(A220&lt;&gt;"", NF!D218, "")</f>
        <v/>
      </c>
      <c r="E220">
        <f>IF(A220&lt;&gt;"", XLOOKUP(A220, Extrato!$D:$D, Extrato!$A:$A, ""), "")</f>
        <v/>
      </c>
      <c r="F220">
        <f>IF(A220&lt;&gt;"", XLOOKUP(A220, Extrato!$D:$D, Extrato!$B:$B, ""), "")</f>
        <v/>
      </c>
      <c r="G220">
        <f>IF(A220&lt;&gt;"", XLOOKUP(A220, Extrato!$D:$D, Extrato!$C:$C, ""), "")</f>
        <v/>
      </c>
      <c r="H220">
        <f>IF(A220="", "", IF(E220="", "Pendente", IF(C220=G220, "OK", "Valor divergente")))</f>
        <v/>
      </c>
    </row>
    <row r="221">
      <c r="A221">
        <f>IF(NF!A219&lt;&gt;"", NF!A219, "")</f>
        <v/>
      </c>
      <c r="B221">
        <f>IF(A221&lt;&gt;"", NF!B219, "")</f>
        <v/>
      </c>
      <c r="C221">
        <f>IF(A221&lt;&gt;"", NF!C219, "")</f>
        <v/>
      </c>
      <c r="D221">
        <f>IF(A221&lt;&gt;"", NF!D219, "")</f>
        <v/>
      </c>
      <c r="E221">
        <f>IF(A221&lt;&gt;"", XLOOKUP(A221, Extrato!$D:$D, Extrato!$A:$A, ""), "")</f>
        <v/>
      </c>
      <c r="F221">
        <f>IF(A221&lt;&gt;"", XLOOKUP(A221, Extrato!$D:$D, Extrato!$B:$B, ""), "")</f>
        <v/>
      </c>
      <c r="G221">
        <f>IF(A221&lt;&gt;"", XLOOKUP(A221, Extrato!$D:$D, Extrato!$C:$C, ""), "")</f>
        <v/>
      </c>
      <c r="H221">
        <f>IF(A221="", "", IF(E221="", "Pendente", IF(C221=G221, "OK", "Valor divergente")))</f>
        <v/>
      </c>
    </row>
    <row r="222">
      <c r="A222">
        <f>IF(NF!A220&lt;&gt;"", NF!A220, "")</f>
        <v/>
      </c>
      <c r="B222">
        <f>IF(A222&lt;&gt;"", NF!B220, "")</f>
        <v/>
      </c>
      <c r="C222">
        <f>IF(A222&lt;&gt;"", NF!C220, "")</f>
        <v/>
      </c>
      <c r="D222">
        <f>IF(A222&lt;&gt;"", NF!D220, "")</f>
        <v/>
      </c>
      <c r="E222">
        <f>IF(A222&lt;&gt;"", XLOOKUP(A222, Extrato!$D:$D, Extrato!$A:$A, ""), "")</f>
        <v/>
      </c>
      <c r="F222">
        <f>IF(A222&lt;&gt;"", XLOOKUP(A222, Extrato!$D:$D, Extrato!$B:$B, ""), "")</f>
        <v/>
      </c>
      <c r="G222">
        <f>IF(A222&lt;&gt;"", XLOOKUP(A222, Extrato!$D:$D, Extrato!$C:$C, ""), "")</f>
        <v/>
      </c>
      <c r="H222">
        <f>IF(A222="", "", IF(E222="", "Pendente", IF(C222=G222, "OK", "Valor divergente")))</f>
        <v/>
      </c>
    </row>
    <row r="223">
      <c r="A223">
        <f>IF(NF!A221&lt;&gt;"", NF!A221, "")</f>
        <v/>
      </c>
      <c r="B223">
        <f>IF(A223&lt;&gt;"", NF!B221, "")</f>
        <v/>
      </c>
      <c r="C223">
        <f>IF(A223&lt;&gt;"", NF!C221, "")</f>
        <v/>
      </c>
      <c r="D223">
        <f>IF(A223&lt;&gt;"", NF!D221, "")</f>
        <v/>
      </c>
      <c r="E223">
        <f>IF(A223&lt;&gt;"", XLOOKUP(A223, Extrato!$D:$D, Extrato!$A:$A, ""), "")</f>
        <v/>
      </c>
      <c r="F223">
        <f>IF(A223&lt;&gt;"", XLOOKUP(A223, Extrato!$D:$D, Extrato!$B:$B, ""), "")</f>
        <v/>
      </c>
      <c r="G223">
        <f>IF(A223&lt;&gt;"", XLOOKUP(A223, Extrato!$D:$D, Extrato!$C:$C, ""), "")</f>
        <v/>
      </c>
      <c r="H223">
        <f>IF(A223="", "", IF(E223="", "Pendente", IF(C223=G223, "OK", "Valor divergente")))</f>
        <v/>
      </c>
    </row>
    <row r="224">
      <c r="A224">
        <f>IF(NF!A222&lt;&gt;"", NF!A222, "")</f>
        <v/>
      </c>
      <c r="B224">
        <f>IF(A224&lt;&gt;"", NF!B222, "")</f>
        <v/>
      </c>
      <c r="C224">
        <f>IF(A224&lt;&gt;"", NF!C222, "")</f>
        <v/>
      </c>
      <c r="D224">
        <f>IF(A224&lt;&gt;"", NF!D222, "")</f>
        <v/>
      </c>
      <c r="E224">
        <f>IF(A224&lt;&gt;"", XLOOKUP(A224, Extrato!$D:$D, Extrato!$A:$A, ""), "")</f>
        <v/>
      </c>
      <c r="F224">
        <f>IF(A224&lt;&gt;"", XLOOKUP(A224, Extrato!$D:$D, Extrato!$B:$B, ""), "")</f>
        <v/>
      </c>
      <c r="G224">
        <f>IF(A224&lt;&gt;"", XLOOKUP(A224, Extrato!$D:$D, Extrato!$C:$C, ""), "")</f>
        <v/>
      </c>
      <c r="H224">
        <f>IF(A224="", "", IF(E224="", "Pendente", IF(C224=G224, "OK", "Valor divergente")))</f>
        <v/>
      </c>
    </row>
    <row r="225">
      <c r="A225">
        <f>IF(NF!A223&lt;&gt;"", NF!A223, "")</f>
        <v/>
      </c>
      <c r="B225">
        <f>IF(A225&lt;&gt;"", NF!B223, "")</f>
        <v/>
      </c>
      <c r="C225">
        <f>IF(A225&lt;&gt;"", NF!C223, "")</f>
        <v/>
      </c>
      <c r="D225">
        <f>IF(A225&lt;&gt;"", NF!D223, "")</f>
        <v/>
      </c>
      <c r="E225">
        <f>IF(A225&lt;&gt;"", XLOOKUP(A225, Extrato!$D:$D, Extrato!$A:$A, ""), "")</f>
        <v/>
      </c>
      <c r="F225">
        <f>IF(A225&lt;&gt;"", XLOOKUP(A225, Extrato!$D:$D, Extrato!$B:$B, ""), "")</f>
        <v/>
      </c>
      <c r="G225">
        <f>IF(A225&lt;&gt;"", XLOOKUP(A225, Extrato!$D:$D, Extrato!$C:$C, ""), "")</f>
        <v/>
      </c>
      <c r="H225">
        <f>IF(A225="", "", IF(E225="", "Pendente", IF(C225=G225, "OK", "Valor divergente")))</f>
        <v/>
      </c>
    </row>
    <row r="226">
      <c r="A226">
        <f>IF(NF!A224&lt;&gt;"", NF!A224, "")</f>
        <v/>
      </c>
      <c r="B226">
        <f>IF(A226&lt;&gt;"", NF!B224, "")</f>
        <v/>
      </c>
      <c r="C226">
        <f>IF(A226&lt;&gt;"", NF!C224, "")</f>
        <v/>
      </c>
      <c r="D226">
        <f>IF(A226&lt;&gt;"", NF!D224, "")</f>
        <v/>
      </c>
      <c r="E226">
        <f>IF(A226&lt;&gt;"", XLOOKUP(A226, Extrato!$D:$D, Extrato!$A:$A, ""), "")</f>
        <v/>
      </c>
      <c r="F226">
        <f>IF(A226&lt;&gt;"", XLOOKUP(A226, Extrato!$D:$D, Extrato!$B:$B, ""), "")</f>
        <v/>
      </c>
      <c r="G226">
        <f>IF(A226&lt;&gt;"", XLOOKUP(A226, Extrato!$D:$D, Extrato!$C:$C, ""), "")</f>
        <v/>
      </c>
      <c r="H226">
        <f>IF(A226="", "", IF(E226="", "Pendente", IF(C226=G226, "OK", "Valor divergente")))</f>
        <v/>
      </c>
    </row>
    <row r="227">
      <c r="A227">
        <f>IF(NF!A225&lt;&gt;"", NF!A225, "")</f>
        <v/>
      </c>
      <c r="B227">
        <f>IF(A227&lt;&gt;"", NF!B225, "")</f>
        <v/>
      </c>
      <c r="C227">
        <f>IF(A227&lt;&gt;"", NF!C225, "")</f>
        <v/>
      </c>
      <c r="D227">
        <f>IF(A227&lt;&gt;"", NF!D225, "")</f>
        <v/>
      </c>
      <c r="E227">
        <f>IF(A227&lt;&gt;"", XLOOKUP(A227, Extrato!$D:$D, Extrato!$A:$A, ""), "")</f>
        <v/>
      </c>
      <c r="F227">
        <f>IF(A227&lt;&gt;"", XLOOKUP(A227, Extrato!$D:$D, Extrato!$B:$B, ""), "")</f>
        <v/>
      </c>
      <c r="G227">
        <f>IF(A227&lt;&gt;"", XLOOKUP(A227, Extrato!$D:$D, Extrato!$C:$C, ""), "")</f>
        <v/>
      </c>
      <c r="H227">
        <f>IF(A227="", "", IF(E227="", "Pendente", IF(C227=G227, "OK", "Valor divergente")))</f>
        <v/>
      </c>
    </row>
    <row r="228">
      <c r="A228">
        <f>IF(NF!A226&lt;&gt;"", NF!A226, "")</f>
        <v/>
      </c>
      <c r="B228">
        <f>IF(A228&lt;&gt;"", NF!B226, "")</f>
        <v/>
      </c>
      <c r="C228">
        <f>IF(A228&lt;&gt;"", NF!C226, "")</f>
        <v/>
      </c>
      <c r="D228">
        <f>IF(A228&lt;&gt;"", NF!D226, "")</f>
        <v/>
      </c>
      <c r="E228">
        <f>IF(A228&lt;&gt;"", XLOOKUP(A228, Extrato!$D:$D, Extrato!$A:$A, ""), "")</f>
        <v/>
      </c>
      <c r="F228">
        <f>IF(A228&lt;&gt;"", XLOOKUP(A228, Extrato!$D:$D, Extrato!$B:$B, ""), "")</f>
        <v/>
      </c>
      <c r="G228">
        <f>IF(A228&lt;&gt;"", XLOOKUP(A228, Extrato!$D:$D, Extrato!$C:$C, ""), "")</f>
        <v/>
      </c>
      <c r="H228">
        <f>IF(A228="", "", IF(E228="", "Pendente", IF(C228=G228, "OK", "Valor divergente")))</f>
        <v/>
      </c>
    </row>
    <row r="229">
      <c r="A229">
        <f>IF(NF!A227&lt;&gt;"", NF!A227, "")</f>
        <v/>
      </c>
      <c r="B229">
        <f>IF(A229&lt;&gt;"", NF!B227, "")</f>
        <v/>
      </c>
      <c r="C229">
        <f>IF(A229&lt;&gt;"", NF!C227, "")</f>
        <v/>
      </c>
      <c r="D229">
        <f>IF(A229&lt;&gt;"", NF!D227, "")</f>
        <v/>
      </c>
      <c r="E229">
        <f>IF(A229&lt;&gt;"", XLOOKUP(A229, Extrato!$D:$D, Extrato!$A:$A, ""), "")</f>
        <v/>
      </c>
      <c r="F229">
        <f>IF(A229&lt;&gt;"", XLOOKUP(A229, Extrato!$D:$D, Extrato!$B:$B, ""), "")</f>
        <v/>
      </c>
      <c r="G229">
        <f>IF(A229&lt;&gt;"", XLOOKUP(A229, Extrato!$D:$D, Extrato!$C:$C, ""), "")</f>
        <v/>
      </c>
      <c r="H229">
        <f>IF(A229="", "", IF(E229="", "Pendente", IF(C229=G229, "OK", "Valor divergente")))</f>
        <v/>
      </c>
    </row>
    <row r="230">
      <c r="A230">
        <f>IF(NF!A228&lt;&gt;"", NF!A228, "")</f>
        <v/>
      </c>
      <c r="B230">
        <f>IF(A230&lt;&gt;"", NF!B228, "")</f>
        <v/>
      </c>
      <c r="C230">
        <f>IF(A230&lt;&gt;"", NF!C228, "")</f>
        <v/>
      </c>
      <c r="D230">
        <f>IF(A230&lt;&gt;"", NF!D228, "")</f>
        <v/>
      </c>
      <c r="E230">
        <f>IF(A230&lt;&gt;"", XLOOKUP(A230, Extrato!$D:$D, Extrato!$A:$A, ""), "")</f>
        <v/>
      </c>
      <c r="F230">
        <f>IF(A230&lt;&gt;"", XLOOKUP(A230, Extrato!$D:$D, Extrato!$B:$B, ""), "")</f>
        <v/>
      </c>
      <c r="G230">
        <f>IF(A230&lt;&gt;"", XLOOKUP(A230, Extrato!$D:$D, Extrato!$C:$C, ""), "")</f>
        <v/>
      </c>
      <c r="H230">
        <f>IF(A230="", "", IF(E230="", "Pendente", IF(C230=G230, "OK", "Valor divergente")))</f>
        <v/>
      </c>
    </row>
    <row r="231">
      <c r="A231">
        <f>IF(NF!A229&lt;&gt;"", NF!A229, "")</f>
        <v/>
      </c>
      <c r="B231">
        <f>IF(A231&lt;&gt;"", NF!B229, "")</f>
        <v/>
      </c>
      <c r="C231">
        <f>IF(A231&lt;&gt;"", NF!C229, "")</f>
        <v/>
      </c>
      <c r="D231">
        <f>IF(A231&lt;&gt;"", NF!D229, "")</f>
        <v/>
      </c>
      <c r="E231">
        <f>IF(A231&lt;&gt;"", XLOOKUP(A231, Extrato!$D:$D, Extrato!$A:$A, ""), "")</f>
        <v/>
      </c>
      <c r="F231">
        <f>IF(A231&lt;&gt;"", XLOOKUP(A231, Extrato!$D:$D, Extrato!$B:$B, ""), "")</f>
        <v/>
      </c>
      <c r="G231">
        <f>IF(A231&lt;&gt;"", XLOOKUP(A231, Extrato!$D:$D, Extrato!$C:$C, ""), "")</f>
        <v/>
      </c>
      <c r="H231">
        <f>IF(A231="", "", IF(E231="", "Pendente", IF(C231=G231, "OK", "Valor divergente")))</f>
        <v/>
      </c>
    </row>
    <row r="232">
      <c r="A232">
        <f>IF(NF!A230&lt;&gt;"", NF!A230, "")</f>
        <v/>
      </c>
      <c r="B232">
        <f>IF(A232&lt;&gt;"", NF!B230, "")</f>
        <v/>
      </c>
      <c r="C232">
        <f>IF(A232&lt;&gt;"", NF!C230, "")</f>
        <v/>
      </c>
      <c r="D232">
        <f>IF(A232&lt;&gt;"", NF!D230, "")</f>
        <v/>
      </c>
      <c r="E232">
        <f>IF(A232&lt;&gt;"", XLOOKUP(A232, Extrato!$D:$D, Extrato!$A:$A, ""), "")</f>
        <v/>
      </c>
      <c r="F232">
        <f>IF(A232&lt;&gt;"", XLOOKUP(A232, Extrato!$D:$D, Extrato!$B:$B, ""), "")</f>
        <v/>
      </c>
      <c r="G232">
        <f>IF(A232&lt;&gt;"", XLOOKUP(A232, Extrato!$D:$D, Extrato!$C:$C, ""), "")</f>
        <v/>
      </c>
      <c r="H232">
        <f>IF(A232="", "", IF(E232="", "Pendente", IF(C232=G232, "OK", "Valor divergente")))</f>
        <v/>
      </c>
    </row>
    <row r="233">
      <c r="A233">
        <f>IF(NF!A231&lt;&gt;"", NF!A231, "")</f>
        <v/>
      </c>
      <c r="B233">
        <f>IF(A233&lt;&gt;"", NF!B231, "")</f>
        <v/>
      </c>
      <c r="C233">
        <f>IF(A233&lt;&gt;"", NF!C231, "")</f>
        <v/>
      </c>
      <c r="D233">
        <f>IF(A233&lt;&gt;"", NF!D231, "")</f>
        <v/>
      </c>
      <c r="E233">
        <f>IF(A233&lt;&gt;"", XLOOKUP(A233, Extrato!$D:$D, Extrato!$A:$A, ""), "")</f>
        <v/>
      </c>
      <c r="F233">
        <f>IF(A233&lt;&gt;"", XLOOKUP(A233, Extrato!$D:$D, Extrato!$B:$B, ""), "")</f>
        <v/>
      </c>
      <c r="G233">
        <f>IF(A233&lt;&gt;"", XLOOKUP(A233, Extrato!$D:$D, Extrato!$C:$C, ""), "")</f>
        <v/>
      </c>
      <c r="H233">
        <f>IF(A233="", "", IF(E233="", "Pendente", IF(C233=G233, "OK", "Valor divergente")))</f>
        <v/>
      </c>
    </row>
    <row r="234">
      <c r="A234">
        <f>IF(NF!A232&lt;&gt;"", NF!A232, "")</f>
        <v/>
      </c>
      <c r="B234">
        <f>IF(A234&lt;&gt;"", NF!B232, "")</f>
        <v/>
      </c>
      <c r="C234">
        <f>IF(A234&lt;&gt;"", NF!C232, "")</f>
        <v/>
      </c>
      <c r="D234">
        <f>IF(A234&lt;&gt;"", NF!D232, "")</f>
        <v/>
      </c>
      <c r="E234">
        <f>IF(A234&lt;&gt;"", XLOOKUP(A234, Extrato!$D:$D, Extrato!$A:$A, ""), "")</f>
        <v/>
      </c>
      <c r="F234">
        <f>IF(A234&lt;&gt;"", XLOOKUP(A234, Extrato!$D:$D, Extrato!$B:$B, ""), "")</f>
        <v/>
      </c>
      <c r="G234">
        <f>IF(A234&lt;&gt;"", XLOOKUP(A234, Extrato!$D:$D, Extrato!$C:$C, ""), "")</f>
        <v/>
      </c>
      <c r="H234">
        <f>IF(A234="", "", IF(E234="", "Pendente", IF(C234=G234, "OK", "Valor divergente")))</f>
        <v/>
      </c>
    </row>
    <row r="235">
      <c r="A235">
        <f>IF(NF!A233&lt;&gt;"", NF!A233, "")</f>
        <v/>
      </c>
      <c r="B235">
        <f>IF(A235&lt;&gt;"", NF!B233, "")</f>
        <v/>
      </c>
      <c r="C235">
        <f>IF(A235&lt;&gt;"", NF!C233, "")</f>
        <v/>
      </c>
      <c r="D235">
        <f>IF(A235&lt;&gt;"", NF!D233, "")</f>
        <v/>
      </c>
      <c r="E235">
        <f>IF(A235&lt;&gt;"", XLOOKUP(A235, Extrato!$D:$D, Extrato!$A:$A, ""), "")</f>
        <v/>
      </c>
      <c r="F235">
        <f>IF(A235&lt;&gt;"", XLOOKUP(A235, Extrato!$D:$D, Extrato!$B:$B, ""), "")</f>
        <v/>
      </c>
      <c r="G235">
        <f>IF(A235&lt;&gt;"", XLOOKUP(A235, Extrato!$D:$D, Extrato!$C:$C, ""), "")</f>
        <v/>
      </c>
      <c r="H235">
        <f>IF(A235="", "", IF(E235="", "Pendente", IF(C235=G235, "OK", "Valor divergente")))</f>
        <v/>
      </c>
    </row>
    <row r="236">
      <c r="A236">
        <f>IF(NF!A234&lt;&gt;"", NF!A234, "")</f>
        <v/>
      </c>
      <c r="B236">
        <f>IF(A236&lt;&gt;"", NF!B234, "")</f>
        <v/>
      </c>
      <c r="C236">
        <f>IF(A236&lt;&gt;"", NF!C234, "")</f>
        <v/>
      </c>
      <c r="D236">
        <f>IF(A236&lt;&gt;"", NF!D234, "")</f>
        <v/>
      </c>
      <c r="E236">
        <f>IF(A236&lt;&gt;"", XLOOKUP(A236, Extrato!$D:$D, Extrato!$A:$A, ""), "")</f>
        <v/>
      </c>
      <c r="F236">
        <f>IF(A236&lt;&gt;"", XLOOKUP(A236, Extrato!$D:$D, Extrato!$B:$B, ""), "")</f>
        <v/>
      </c>
      <c r="G236">
        <f>IF(A236&lt;&gt;"", XLOOKUP(A236, Extrato!$D:$D, Extrato!$C:$C, ""), "")</f>
        <v/>
      </c>
      <c r="H236">
        <f>IF(A236="", "", IF(E236="", "Pendente", IF(C236=G236, "OK", "Valor divergente")))</f>
        <v/>
      </c>
    </row>
    <row r="237">
      <c r="A237">
        <f>IF(NF!A235&lt;&gt;"", NF!A235, "")</f>
        <v/>
      </c>
      <c r="B237">
        <f>IF(A237&lt;&gt;"", NF!B235, "")</f>
        <v/>
      </c>
      <c r="C237">
        <f>IF(A237&lt;&gt;"", NF!C235, "")</f>
        <v/>
      </c>
      <c r="D237">
        <f>IF(A237&lt;&gt;"", NF!D235, "")</f>
        <v/>
      </c>
      <c r="E237">
        <f>IF(A237&lt;&gt;"", XLOOKUP(A237, Extrato!$D:$D, Extrato!$A:$A, ""), "")</f>
        <v/>
      </c>
      <c r="F237">
        <f>IF(A237&lt;&gt;"", XLOOKUP(A237, Extrato!$D:$D, Extrato!$B:$B, ""), "")</f>
        <v/>
      </c>
      <c r="G237">
        <f>IF(A237&lt;&gt;"", XLOOKUP(A237, Extrato!$D:$D, Extrato!$C:$C, ""), "")</f>
        <v/>
      </c>
      <c r="H237">
        <f>IF(A237="", "", IF(E237="", "Pendente", IF(C237=G237, "OK", "Valor divergente")))</f>
        <v/>
      </c>
    </row>
    <row r="238">
      <c r="A238">
        <f>IF(NF!A236&lt;&gt;"", NF!A236, "")</f>
        <v/>
      </c>
      <c r="B238">
        <f>IF(A238&lt;&gt;"", NF!B236, "")</f>
        <v/>
      </c>
      <c r="C238">
        <f>IF(A238&lt;&gt;"", NF!C236, "")</f>
        <v/>
      </c>
      <c r="D238">
        <f>IF(A238&lt;&gt;"", NF!D236, "")</f>
        <v/>
      </c>
      <c r="E238">
        <f>IF(A238&lt;&gt;"", XLOOKUP(A238, Extrato!$D:$D, Extrato!$A:$A, ""), "")</f>
        <v/>
      </c>
      <c r="F238">
        <f>IF(A238&lt;&gt;"", XLOOKUP(A238, Extrato!$D:$D, Extrato!$B:$B, ""), "")</f>
        <v/>
      </c>
      <c r="G238">
        <f>IF(A238&lt;&gt;"", XLOOKUP(A238, Extrato!$D:$D, Extrato!$C:$C, ""), "")</f>
        <v/>
      </c>
      <c r="H238">
        <f>IF(A238="", "", IF(E238="", "Pendente", IF(C238=G238, "OK", "Valor divergente")))</f>
        <v/>
      </c>
    </row>
    <row r="239">
      <c r="A239">
        <f>IF(NF!A237&lt;&gt;"", NF!A237, "")</f>
        <v/>
      </c>
      <c r="B239">
        <f>IF(A239&lt;&gt;"", NF!B237, "")</f>
        <v/>
      </c>
      <c r="C239">
        <f>IF(A239&lt;&gt;"", NF!C237, "")</f>
        <v/>
      </c>
      <c r="D239">
        <f>IF(A239&lt;&gt;"", NF!D237, "")</f>
        <v/>
      </c>
      <c r="E239">
        <f>IF(A239&lt;&gt;"", XLOOKUP(A239, Extrato!$D:$D, Extrato!$A:$A, ""), "")</f>
        <v/>
      </c>
      <c r="F239">
        <f>IF(A239&lt;&gt;"", XLOOKUP(A239, Extrato!$D:$D, Extrato!$B:$B, ""), "")</f>
        <v/>
      </c>
      <c r="G239">
        <f>IF(A239&lt;&gt;"", XLOOKUP(A239, Extrato!$D:$D, Extrato!$C:$C, ""), "")</f>
        <v/>
      </c>
      <c r="H239">
        <f>IF(A239="", "", IF(E239="", "Pendente", IF(C239=G239, "OK", "Valor divergente")))</f>
        <v/>
      </c>
    </row>
    <row r="240">
      <c r="A240">
        <f>IF(NF!A238&lt;&gt;"", NF!A238, "")</f>
        <v/>
      </c>
      <c r="B240">
        <f>IF(A240&lt;&gt;"", NF!B238, "")</f>
        <v/>
      </c>
      <c r="C240">
        <f>IF(A240&lt;&gt;"", NF!C238, "")</f>
        <v/>
      </c>
      <c r="D240">
        <f>IF(A240&lt;&gt;"", NF!D238, "")</f>
        <v/>
      </c>
      <c r="E240">
        <f>IF(A240&lt;&gt;"", XLOOKUP(A240, Extrato!$D:$D, Extrato!$A:$A, ""), "")</f>
        <v/>
      </c>
      <c r="F240">
        <f>IF(A240&lt;&gt;"", XLOOKUP(A240, Extrato!$D:$D, Extrato!$B:$B, ""), "")</f>
        <v/>
      </c>
      <c r="G240">
        <f>IF(A240&lt;&gt;"", XLOOKUP(A240, Extrato!$D:$D, Extrato!$C:$C, ""), "")</f>
        <v/>
      </c>
      <c r="H240">
        <f>IF(A240="", "", IF(E240="", "Pendente", IF(C240=G240, "OK", "Valor divergente")))</f>
        <v/>
      </c>
    </row>
    <row r="241">
      <c r="A241">
        <f>IF(NF!A239&lt;&gt;"", NF!A239, "")</f>
        <v/>
      </c>
      <c r="B241">
        <f>IF(A241&lt;&gt;"", NF!B239, "")</f>
        <v/>
      </c>
      <c r="C241">
        <f>IF(A241&lt;&gt;"", NF!C239, "")</f>
        <v/>
      </c>
      <c r="D241">
        <f>IF(A241&lt;&gt;"", NF!D239, "")</f>
        <v/>
      </c>
      <c r="E241">
        <f>IF(A241&lt;&gt;"", XLOOKUP(A241, Extrato!$D:$D, Extrato!$A:$A, ""), "")</f>
        <v/>
      </c>
      <c r="F241">
        <f>IF(A241&lt;&gt;"", XLOOKUP(A241, Extrato!$D:$D, Extrato!$B:$B, ""), "")</f>
        <v/>
      </c>
      <c r="G241">
        <f>IF(A241&lt;&gt;"", XLOOKUP(A241, Extrato!$D:$D, Extrato!$C:$C, ""), "")</f>
        <v/>
      </c>
      <c r="H241">
        <f>IF(A241="", "", IF(E241="", "Pendente", IF(C241=G241, "OK", "Valor divergente")))</f>
        <v/>
      </c>
    </row>
    <row r="242">
      <c r="A242">
        <f>IF(NF!A240&lt;&gt;"", NF!A240, "")</f>
        <v/>
      </c>
      <c r="B242">
        <f>IF(A242&lt;&gt;"", NF!B240, "")</f>
        <v/>
      </c>
      <c r="C242">
        <f>IF(A242&lt;&gt;"", NF!C240, "")</f>
        <v/>
      </c>
      <c r="D242">
        <f>IF(A242&lt;&gt;"", NF!D240, "")</f>
        <v/>
      </c>
      <c r="E242">
        <f>IF(A242&lt;&gt;"", XLOOKUP(A242, Extrato!$D:$D, Extrato!$A:$A, ""), "")</f>
        <v/>
      </c>
      <c r="F242">
        <f>IF(A242&lt;&gt;"", XLOOKUP(A242, Extrato!$D:$D, Extrato!$B:$B, ""), "")</f>
        <v/>
      </c>
      <c r="G242">
        <f>IF(A242&lt;&gt;"", XLOOKUP(A242, Extrato!$D:$D, Extrato!$C:$C, ""), "")</f>
        <v/>
      </c>
      <c r="H242">
        <f>IF(A242="", "", IF(E242="", "Pendente", IF(C242=G242, "OK", "Valor divergente")))</f>
        <v/>
      </c>
    </row>
    <row r="243">
      <c r="A243">
        <f>IF(NF!A241&lt;&gt;"", NF!A241, "")</f>
        <v/>
      </c>
      <c r="B243">
        <f>IF(A243&lt;&gt;"", NF!B241, "")</f>
        <v/>
      </c>
      <c r="C243">
        <f>IF(A243&lt;&gt;"", NF!C241, "")</f>
        <v/>
      </c>
      <c r="D243">
        <f>IF(A243&lt;&gt;"", NF!D241, "")</f>
        <v/>
      </c>
      <c r="E243">
        <f>IF(A243&lt;&gt;"", XLOOKUP(A243, Extrato!$D:$D, Extrato!$A:$A, ""), "")</f>
        <v/>
      </c>
      <c r="F243">
        <f>IF(A243&lt;&gt;"", XLOOKUP(A243, Extrato!$D:$D, Extrato!$B:$B, ""), "")</f>
        <v/>
      </c>
      <c r="G243">
        <f>IF(A243&lt;&gt;"", XLOOKUP(A243, Extrato!$D:$D, Extrato!$C:$C, ""), "")</f>
        <v/>
      </c>
      <c r="H243">
        <f>IF(A243="", "", IF(E243="", "Pendente", IF(C243=G243, "OK", "Valor divergente")))</f>
        <v/>
      </c>
    </row>
    <row r="244">
      <c r="A244">
        <f>IF(NF!A242&lt;&gt;"", NF!A242, "")</f>
        <v/>
      </c>
      <c r="B244">
        <f>IF(A244&lt;&gt;"", NF!B242, "")</f>
        <v/>
      </c>
      <c r="C244">
        <f>IF(A244&lt;&gt;"", NF!C242, "")</f>
        <v/>
      </c>
      <c r="D244">
        <f>IF(A244&lt;&gt;"", NF!D242, "")</f>
        <v/>
      </c>
      <c r="E244">
        <f>IF(A244&lt;&gt;"", XLOOKUP(A244, Extrato!$D:$D, Extrato!$A:$A, ""), "")</f>
        <v/>
      </c>
      <c r="F244">
        <f>IF(A244&lt;&gt;"", XLOOKUP(A244, Extrato!$D:$D, Extrato!$B:$B, ""), "")</f>
        <v/>
      </c>
      <c r="G244">
        <f>IF(A244&lt;&gt;"", XLOOKUP(A244, Extrato!$D:$D, Extrato!$C:$C, ""), "")</f>
        <v/>
      </c>
      <c r="H244">
        <f>IF(A244="", "", IF(E244="", "Pendente", IF(C244=G244, "OK", "Valor divergente")))</f>
        <v/>
      </c>
    </row>
    <row r="245">
      <c r="A245">
        <f>IF(NF!A243&lt;&gt;"", NF!A243, "")</f>
        <v/>
      </c>
      <c r="B245">
        <f>IF(A245&lt;&gt;"", NF!B243, "")</f>
        <v/>
      </c>
      <c r="C245">
        <f>IF(A245&lt;&gt;"", NF!C243, "")</f>
        <v/>
      </c>
      <c r="D245">
        <f>IF(A245&lt;&gt;"", NF!D243, "")</f>
        <v/>
      </c>
      <c r="E245">
        <f>IF(A245&lt;&gt;"", XLOOKUP(A245, Extrato!$D:$D, Extrato!$A:$A, ""), "")</f>
        <v/>
      </c>
      <c r="F245">
        <f>IF(A245&lt;&gt;"", XLOOKUP(A245, Extrato!$D:$D, Extrato!$B:$B, ""), "")</f>
        <v/>
      </c>
      <c r="G245">
        <f>IF(A245&lt;&gt;"", XLOOKUP(A245, Extrato!$D:$D, Extrato!$C:$C, ""), "")</f>
        <v/>
      </c>
      <c r="H245">
        <f>IF(A245="", "", IF(E245="", "Pendente", IF(C245=G245, "OK", "Valor divergente")))</f>
        <v/>
      </c>
    </row>
    <row r="246">
      <c r="A246">
        <f>IF(NF!A244&lt;&gt;"", NF!A244, "")</f>
        <v/>
      </c>
      <c r="B246">
        <f>IF(A246&lt;&gt;"", NF!B244, "")</f>
        <v/>
      </c>
      <c r="C246">
        <f>IF(A246&lt;&gt;"", NF!C244, "")</f>
        <v/>
      </c>
      <c r="D246">
        <f>IF(A246&lt;&gt;"", NF!D244, "")</f>
        <v/>
      </c>
      <c r="E246">
        <f>IF(A246&lt;&gt;"", XLOOKUP(A246, Extrato!$D:$D, Extrato!$A:$A, ""), "")</f>
        <v/>
      </c>
      <c r="F246">
        <f>IF(A246&lt;&gt;"", XLOOKUP(A246, Extrato!$D:$D, Extrato!$B:$B, ""), "")</f>
        <v/>
      </c>
      <c r="G246">
        <f>IF(A246&lt;&gt;"", XLOOKUP(A246, Extrato!$D:$D, Extrato!$C:$C, ""), "")</f>
        <v/>
      </c>
      <c r="H246">
        <f>IF(A246="", "", IF(E246="", "Pendente", IF(C246=G246, "OK", "Valor divergente")))</f>
        <v/>
      </c>
    </row>
    <row r="247">
      <c r="A247">
        <f>IF(NF!A245&lt;&gt;"", NF!A245, "")</f>
        <v/>
      </c>
      <c r="B247">
        <f>IF(A247&lt;&gt;"", NF!B245, "")</f>
        <v/>
      </c>
      <c r="C247">
        <f>IF(A247&lt;&gt;"", NF!C245, "")</f>
        <v/>
      </c>
      <c r="D247">
        <f>IF(A247&lt;&gt;"", NF!D245, "")</f>
        <v/>
      </c>
      <c r="E247">
        <f>IF(A247&lt;&gt;"", XLOOKUP(A247, Extrato!$D:$D, Extrato!$A:$A, ""), "")</f>
        <v/>
      </c>
      <c r="F247">
        <f>IF(A247&lt;&gt;"", XLOOKUP(A247, Extrato!$D:$D, Extrato!$B:$B, ""), "")</f>
        <v/>
      </c>
      <c r="G247">
        <f>IF(A247&lt;&gt;"", XLOOKUP(A247, Extrato!$D:$D, Extrato!$C:$C, ""), "")</f>
        <v/>
      </c>
      <c r="H247">
        <f>IF(A247="", "", IF(E247="", "Pendente", IF(C247=G247, "OK", "Valor divergente")))</f>
        <v/>
      </c>
    </row>
    <row r="248">
      <c r="A248">
        <f>IF(NF!A246&lt;&gt;"", NF!A246, "")</f>
        <v/>
      </c>
      <c r="B248">
        <f>IF(A248&lt;&gt;"", NF!B246, "")</f>
        <v/>
      </c>
      <c r="C248">
        <f>IF(A248&lt;&gt;"", NF!C246, "")</f>
        <v/>
      </c>
      <c r="D248">
        <f>IF(A248&lt;&gt;"", NF!D246, "")</f>
        <v/>
      </c>
      <c r="E248">
        <f>IF(A248&lt;&gt;"", XLOOKUP(A248, Extrato!$D:$D, Extrato!$A:$A, ""), "")</f>
        <v/>
      </c>
      <c r="F248">
        <f>IF(A248&lt;&gt;"", XLOOKUP(A248, Extrato!$D:$D, Extrato!$B:$B, ""), "")</f>
        <v/>
      </c>
      <c r="G248">
        <f>IF(A248&lt;&gt;"", XLOOKUP(A248, Extrato!$D:$D, Extrato!$C:$C, ""), "")</f>
        <v/>
      </c>
      <c r="H248">
        <f>IF(A248="", "", IF(E248="", "Pendente", IF(C248=G248, "OK", "Valor divergente")))</f>
        <v/>
      </c>
    </row>
    <row r="249">
      <c r="A249">
        <f>IF(NF!A247&lt;&gt;"", NF!A247, "")</f>
        <v/>
      </c>
      <c r="B249">
        <f>IF(A249&lt;&gt;"", NF!B247, "")</f>
        <v/>
      </c>
      <c r="C249">
        <f>IF(A249&lt;&gt;"", NF!C247, "")</f>
        <v/>
      </c>
      <c r="D249">
        <f>IF(A249&lt;&gt;"", NF!D247, "")</f>
        <v/>
      </c>
      <c r="E249">
        <f>IF(A249&lt;&gt;"", XLOOKUP(A249, Extrato!$D:$D, Extrato!$A:$A, ""), "")</f>
        <v/>
      </c>
      <c r="F249">
        <f>IF(A249&lt;&gt;"", XLOOKUP(A249, Extrato!$D:$D, Extrato!$B:$B, ""), "")</f>
        <v/>
      </c>
      <c r="G249">
        <f>IF(A249&lt;&gt;"", XLOOKUP(A249, Extrato!$D:$D, Extrato!$C:$C, ""), "")</f>
        <v/>
      </c>
      <c r="H249">
        <f>IF(A249="", "", IF(E249="", "Pendente", IF(C249=G249, "OK", "Valor divergente")))</f>
        <v/>
      </c>
    </row>
    <row r="250">
      <c r="A250">
        <f>IF(NF!A248&lt;&gt;"", NF!A248, "")</f>
        <v/>
      </c>
      <c r="B250">
        <f>IF(A250&lt;&gt;"", NF!B248, "")</f>
        <v/>
      </c>
      <c r="C250">
        <f>IF(A250&lt;&gt;"", NF!C248, "")</f>
        <v/>
      </c>
      <c r="D250">
        <f>IF(A250&lt;&gt;"", NF!D248, "")</f>
        <v/>
      </c>
      <c r="E250">
        <f>IF(A250&lt;&gt;"", XLOOKUP(A250, Extrato!$D:$D, Extrato!$A:$A, ""), "")</f>
        <v/>
      </c>
      <c r="F250">
        <f>IF(A250&lt;&gt;"", XLOOKUP(A250, Extrato!$D:$D, Extrato!$B:$B, ""), "")</f>
        <v/>
      </c>
      <c r="G250">
        <f>IF(A250&lt;&gt;"", XLOOKUP(A250, Extrato!$D:$D, Extrato!$C:$C, ""), "")</f>
        <v/>
      </c>
      <c r="H250">
        <f>IF(A250="", "", IF(E250="", "Pendente", IF(C250=G250, "OK", "Valor divergente")))</f>
        <v/>
      </c>
    </row>
    <row r="251">
      <c r="A251">
        <f>IF(NF!A249&lt;&gt;"", NF!A249, "")</f>
        <v/>
      </c>
      <c r="B251">
        <f>IF(A251&lt;&gt;"", NF!B249, "")</f>
        <v/>
      </c>
      <c r="C251">
        <f>IF(A251&lt;&gt;"", NF!C249, "")</f>
        <v/>
      </c>
      <c r="D251">
        <f>IF(A251&lt;&gt;"", NF!D249, "")</f>
        <v/>
      </c>
      <c r="E251">
        <f>IF(A251&lt;&gt;"", XLOOKUP(A251, Extrato!$D:$D, Extrato!$A:$A, ""), "")</f>
        <v/>
      </c>
      <c r="F251">
        <f>IF(A251&lt;&gt;"", XLOOKUP(A251, Extrato!$D:$D, Extrato!$B:$B, ""), "")</f>
        <v/>
      </c>
      <c r="G251">
        <f>IF(A251&lt;&gt;"", XLOOKUP(A251, Extrato!$D:$D, Extrato!$C:$C, ""), "")</f>
        <v/>
      </c>
      <c r="H251">
        <f>IF(A251="", "", IF(E251="", "Pendente", IF(C251=G251, "OK", "Valor divergente")))</f>
        <v/>
      </c>
    </row>
    <row r="252">
      <c r="A252">
        <f>IF(NF!A250&lt;&gt;"", NF!A250, "")</f>
        <v/>
      </c>
      <c r="B252">
        <f>IF(A252&lt;&gt;"", NF!B250, "")</f>
        <v/>
      </c>
      <c r="C252">
        <f>IF(A252&lt;&gt;"", NF!C250, "")</f>
        <v/>
      </c>
      <c r="D252">
        <f>IF(A252&lt;&gt;"", NF!D250, "")</f>
        <v/>
      </c>
      <c r="E252">
        <f>IF(A252&lt;&gt;"", XLOOKUP(A252, Extrato!$D:$D, Extrato!$A:$A, ""), "")</f>
        <v/>
      </c>
      <c r="F252">
        <f>IF(A252&lt;&gt;"", XLOOKUP(A252, Extrato!$D:$D, Extrato!$B:$B, ""), "")</f>
        <v/>
      </c>
      <c r="G252">
        <f>IF(A252&lt;&gt;"", XLOOKUP(A252, Extrato!$D:$D, Extrato!$C:$C, ""), "")</f>
        <v/>
      </c>
      <c r="H252">
        <f>IF(A252="", "", IF(E252="", "Pendente", IF(C252=G252, "OK", "Valor divergente")))</f>
        <v/>
      </c>
    </row>
    <row r="253">
      <c r="A253">
        <f>IF(NF!A251&lt;&gt;"", NF!A251, "")</f>
        <v/>
      </c>
      <c r="B253">
        <f>IF(A253&lt;&gt;"", NF!B251, "")</f>
        <v/>
      </c>
      <c r="C253">
        <f>IF(A253&lt;&gt;"", NF!C251, "")</f>
        <v/>
      </c>
      <c r="D253">
        <f>IF(A253&lt;&gt;"", NF!D251, "")</f>
        <v/>
      </c>
      <c r="E253">
        <f>IF(A253&lt;&gt;"", XLOOKUP(A253, Extrato!$D:$D, Extrato!$A:$A, ""), "")</f>
        <v/>
      </c>
      <c r="F253">
        <f>IF(A253&lt;&gt;"", XLOOKUP(A253, Extrato!$D:$D, Extrato!$B:$B, ""), "")</f>
        <v/>
      </c>
      <c r="G253">
        <f>IF(A253&lt;&gt;"", XLOOKUP(A253, Extrato!$D:$D, Extrato!$C:$C, ""), "")</f>
        <v/>
      </c>
      <c r="H253">
        <f>IF(A253="", "", IF(E253="", "Pendente", IF(C253=G253, "OK", "Valor divergente")))</f>
        <v/>
      </c>
    </row>
    <row r="254">
      <c r="A254">
        <f>IF(NF!A252&lt;&gt;"", NF!A252, "")</f>
        <v/>
      </c>
      <c r="B254">
        <f>IF(A254&lt;&gt;"", NF!B252, "")</f>
        <v/>
      </c>
      <c r="C254">
        <f>IF(A254&lt;&gt;"", NF!C252, "")</f>
        <v/>
      </c>
      <c r="D254">
        <f>IF(A254&lt;&gt;"", NF!D252, "")</f>
        <v/>
      </c>
      <c r="E254">
        <f>IF(A254&lt;&gt;"", XLOOKUP(A254, Extrato!$D:$D, Extrato!$A:$A, ""), "")</f>
        <v/>
      </c>
      <c r="F254">
        <f>IF(A254&lt;&gt;"", XLOOKUP(A254, Extrato!$D:$D, Extrato!$B:$B, ""), "")</f>
        <v/>
      </c>
      <c r="G254">
        <f>IF(A254&lt;&gt;"", XLOOKUP(A254, Extrato!$D:$D, Extrato!$C:$C, ""), "")</f>
        <v/>
      </c>
      <c r="H254">
        <f>IF(A254="", "", IF(E254="", "Pendente", IF(C254=G254, "OK", "Valor divergente")))</f>
        <v/>
      </c>
    </row>
    <row r="255">
      <c r="A255">
        <f>IF(NF!A253&lt;&gt;"", NF!A253, "")</f>
        <v/>
      </c>
      <c r="B255">
        <f>IF(A255&lt;&gt;"", NF!B253, "")</f>
        <v/>
      </c>
      <c r="C255">
        <f>IF(A255&lt;&gt;"", NF!C253, "")</f>
        <v/>
      </c>
      <c r="D255">
        <f>IF(A255&lt;&gt;"", NF!D253, "")</f>
        <v/>
      </c>
      <c r="E255">
        <f>IF(A255&lt;&gt;"", XLOOKUP(A255, Extrato!$D:$D, Extrato!$A:$A, ""), "")</f>
        <v/>
      </c>
      <c r="F255">
        <f>IF(A255&lt;&gt;"", XLOOKUP(A255, Extrato!$D:$D, Extrato!$B:$B, ""), "")</f>
        <v/>
      </c>
      <c r="G255">
        <f>IF(A255&lt;&gt;"", XLOOKUP(A255, Extrato!$D:$D, Extrato!$C:$C, ""), "")</f>
        <v/>
      </c>
      <c r="H255">
        <f>IF(A255="", "", IF(E255="", "Pendente", IF(C255=G255, "OK", "Valor divergente")))</f>
        <v/>
      </c>
    </row>
    <row r="256">
      <c r="A256">
        <f>IF(NF!A254&lt;&gt;"", NF!A254, "")</f>
        <v/>
      </c>
      <c r="B256">
        <f>IF(A256&lt;&gt;"", NF!B254, "")</f>
        <v/>
      </c>
      <c r="C256">
        <f>IF(A256&lt;&gt;"", NF!C254, "")</f>
        <v/>
      </c>
      <c r="D256">
        <f>IF(A256&lt;&gt;"", NF!D254, "")</f>
        <v/>
      </c>
      <c r="E256">
        <f>IF(A256&lt;&gt;"", XLOOKUP(A256, Extrato!$D:$D, Extrato!$A:$A, ""), "")</f>
        <v/>
      </c>
      <c r="F256">
        <f>IF(A256&lt;&gt;"", XLOOKUP(A256, Extrato!$D:$D, Extrato!$B:$B, ""), "")</f>
        <v/>
      </c>
      <c r="G256">
        <f>IF(A256&lt;&gt;"", XLOOKUP(A256, Extrato!$D:$D, Extrato!$C:$C, ""), "")</f>
        <v/>
      </c>
      <c r="H256">
        <f>IF(A256="", "", IF(E256="", "Pendente", IF(C256=G256, "OK", "Valor divergente")))</f>
        <v/>
      </c>
    </row>
    <row r="257">
      <c r="A257">
        <f>IF(NF!A255&lt;&gt;"", NF!A255, "")</f>
        <v/>
      </c>
      <c r="B257">
        <f>IF(A257&lt;&gt;"", NF!B255, "")</f>
        <v/>
      </c>
      <c r="C257">
        <f>IF(A257&lt;&gt;"", NF!C255, "")</f>
        <v/>
      </c>
      <c r="D257">
        <f>IF(A257&lt;&gt;"", NF!D255, "")</f>
        <v/>
      </c>
      <c r="E257">
        <f>IF(A257&lt;&gt;"", XLOOKUP(A257, Extrato!$D:$D, Extrato!$A:$A, ""), "")</f>
        <v/>
      </c>
      <c r="F257">
        <f>IF(A257&lt;&gt;"", XLOOKUP(A257, Extrato!$D:$D, Extrato!$B:$B, ""), "")</f>
        <v/>
      </c>
      <c r="G257">
        <f>IF(A257&lt;&gt;"", XLOOKUP(A257, Extrato!$D:$D, Extrato!$C:$C, ""), "")</f>
        <v/>
      </c>
      <c r="H257">
        <f>IF(A257="", "", IF(E257="", "Pendente", IF(C257=G257, "OK", "Valor divergente")))</f>
        <v/>
      </c>
    </row>
    <row r="258">
      <c r="A258">
        <f>IF(NF!A256&lt;&gt;"", NF!A256, "")</f>
        <v/>
      </c>
      <c r="B258">
        <f>IF(A258&lt;&gt;"", NF!B256, "")</f>
        <v/>
      </c>
      <c r="C258">
        <f>IF(A258&lt;&gt;"", NF!C256, "")</f>
        <v/>
      </c>
      <c r="D258">
        <f>IF(A258&lt;&gt;"", NF!D256, "")</f>
        <v/>
      </c>
      <c r="E258">
        <f>IF(A258&lt;&gt;"", XLOOKUP(A258, Extrato!$D:$D, Extrato!$A:$A, ""), "")</f>
        <v/>
      </c>
      <c r="F258">
        <f>IF(A258&lt;&gt;"", XLOOKUP(A258, Extrato!$D:$D, Extrato!$B:$B, ""), "")</f>
        <v/>
      </c>
      <c r="G258">
        <f>IF(A258&lt;&gt;"", XLOOKUP(A258, Extrato!$D:$D, Extrato!$C:$C, ""), "")</f>
        <v/>
      </c>
      <c r="H258">
        <f>IF(A258="", "", IF(E258="", "Pendente", IF(C258=G258, "OK", "Valor divergente")))</f>
        <v/>
      </c>
    </row>
    <row r="259">
      <c r="A259">
        <f>IF(NF!A257&lt;&gt;"", NF!A257, "")</f>
        <v/>
      </c>
      <c r="B259">
        <f>IF(A259&lt;&gt;"", NF!B257, "")</f>
        <v/>
      </c>
      <c r="C259">
        <f>IF(A259&lt;&gt;"", NF!C257, "")</f>
        <v/>
      </c>
      <c r="D259">
        <f>IF(A259&lt;&gt;"", NF!D257, "")</f>
        <v/>
      </c>
      <c r="E259">
        <f>IF(A259&lt;&gt;"", XLOOKUP(A259, Extrato!$D:$D, Extrato!$A:$A, ""), "")</f>
        <v/>
      </c>
      <c r="F259">
        <f>IF(A259&lt;&gt;"", XLOOKUP(A259, Extrato!$D:$D, Extrato!$B:$B, ""), "")</f>
        <v/>
      </c>
      <c r="G259">
        <f>IF(A259&lt;&gt;"", XLOOKUP(A259, Extrato!$D:$D, Extrato!$C:$C, ""), "")</f>
        <v/>
      </c>
      <c r="H259">
        <f>IF(A259="", "", IF(E259="", "Pendente", IF(C259=G259, "OK", "Valor divergente")))</f>
        <v/>
      </c>
    </row>
    <row r="260">
      <c r="A260">
        <f>IF(NF!A258&lt;&gt;"", NF!A258, "")</f>
        <v/>
      </c>
      <c r="B260">
        <f>IF(A260&lt;&gt;"", NF!B258, "")</f>
        <v/>
      </c>
      <c r="C260">
        <f>IF(A260&lt;&gt;"", NF!C258, "")</f>
        <v/>
      </c>
      <c r="D260">
        <f>IF(A260&lt;&gt;"", NF!D258, "")</f>
        <v/>
      </c>
      <c r="E260">
        <f>IF(A260&lt;&gt;"", XLOOKUP(A260, Extrato!$D:$D, Extrato!$A:$A, ""), "")</f>
        <v/>
      </c>
      <c r="F260">
        <f>IF(A260&lt;&gt;"", XLOOKUP(A260, Extrato!$D:$D, Extrato!$B:$B, ""), "")</f>
        <v/>
      </c>
      <c r="G260">
        <f>IF(A260&lt;&gt;"", XLOOKUP(A260, Extrato!$D:$D, Extrato!$C:$C, ""), "")</f>
        <v/>
      </c>
      <c r="H260">
        <f>IF(A260="", "", IF(E260="", "Pendente", IF(C260=G260, "OK", "Valor divergente")))</f>
        <v/>
      </c>
    </row>
    <row r="261">
      <c r="A261">
        <f>IF(NF!A259&lt;&gt;"", NF!A259, "")</f>
        <v/>
      </c>
      <c r="B261">
        <f>IF(A261&lt;&gt;"", NF!B259, "")</f>
        <v/>
      </c>
      <c r="C261">
        <f>IF(A261&lt;&gt;"", NF!C259, "")</f>
        <v/>
      </c>
      <c r="D261">
        <f>IF(A261&lt;&gt;"", NF!D259, "")</f>
        <v/>
      </c>
      <c r="E261">
        <f>IF(A261&lt;&gt;"", XLOOKUP(A261, Extrato!$D:$D, Extrato!$A:$A, ""), "")</f>
        <v/>
      </c>
      <c r="F261">
        <f>IF(A261&lt;&gt;"", XLOOKUP(A261, Extrato!$D:$D, Extrato!$B:$B, ""), "")</f>
        <v/>
      </c>
      <c r="G261">
        <f>IF(A261&lt;&gt;"", XLOOKUP(A261, Extrato!$D:$D, Extrato!$C:$C, ""), "")</f>
        <v/>
      </c>
      <c r="H261">
        <f>IF(A261="", "", IF(E261="", "Pendente", IF(C261=G261, "OK", "Valor divergente")))</f>
        <v/>
      </c>
    </row>
    <row r="262">
      <c r="A262">
        <f>IF(NF!A260&lt;&gt;"", NF!A260, "")</f>
        <v/>
      </c>
      <c r="B262">
        <f>IF(A262&lt;&gt;"", NF!B260, "")</f>
        <v/>
      </c>
      <c r="C262">
        <f>IF(A262&lt;&gt;"", NF!C260, "")</f>
        <v/>
      </c>
      <c r="D262">
        <f>IF(A262&lt;&gt;"", NF!D260, "")</f>
        <v/>
      </c>
      <c r="E262">
        <f>IF(A262&lt;&gt;"", XLOOKUP(A262, Extrato!$D:$D, Extrato!$A:$A, ""), "")</f>
        <v/>
      </c>
      <c r="F262">
        <f>IF(A262&lt;&gt;"", XLOOKUP(A262, Extrato!$D:$D, Extrato!$B:$B, ""), "")</f>
        <v/>
      </c>
      <c r="G262">
        <f>IF(A262&lt;&gt;"", XLOOKUP(A262, Extrato!$D:$D, Extrato!$C:$C, ""), "")</f>
        <v/>
      </c>
      <c r="H262">
        <f>IF(A262="", "", IF(E262="", "Pendente", IF(C262=G262, "OK", "Valor divergente")))</f>
        <v/>
      </c>
    </row>
    <row r="263">
      <c r="A263">
        <f>IF(NF!A261&lt;&gt;"", NF!A261, "")</f>
        <v/>
      </c>
      <c r="B263">
        <f>IF(A263&lt;&gt;"", NF!B261, "")</f>
        <v/>
      </c>
      <c r="C263">
        <f>IF(A263&lt;&gt;"", NF!C261, "")</f>
        <v/>
      </c>
      <c r="D263">
        <f>IF(A263&lt;&gt;"", NF!D261, "")</f>
        <v/>
      </c>
      <c r="E263">
        <f>IF(A263&lt;&gt;"", XLOOKUP(A263, Extrato!$D:$D, Extrato!$A:$A, ""), "")</f>
        <v/>
      </c>
      <c r="F263">
        <f>IF(A263&lt;&gt;"", XLOOKUP(A263, Extrato!$D:$D, Extrato!$B:$B, ""), "")</f>
        <v/>
      </c>
      <c r="G263">
        <f>IF(A263&lt;&gt;"", XLOOKUP(A263, Extrato!$D:$D, Extrato!$C:$C, ""), "")</f>
        <v/>
      </c>
      <c r="H263">
        <f>IF(A263="", "", IF(E263="", "Pendente", IF(C263=G263, "OK", "Valor divergente")))</f>
        <v/>
      </c>
    </row>
    <row r="264">
      <c r="A264">
        <f>IF(NF!A262&lt;&gt;"", NF!A262, "")</f>
        <v/>
      </c>
      <c r="B264">
        <f>IF(A264&lt;&gt;"", NF!B262, "")</f>
        <v/>
      </c>
      <c r="C264">
        <f>IF(A264&lt;&gt;"", NF!C262, "")</f>
        <v/>
      </c>
      <c r="D264">
        <f>IF(A264&lt;&gt;"", NF!D262, "")</f>
        <v/>
      </c>
      <c r="E264">
        <f>IF(A264&lt;&gt;"", XLOOKUP(A264, Extrato!$D:$D, Extrato!$A:$A, ""), "")</f>
        <v/>
      </c>
      <c r="F264">
        <f>IF(A264&lt;&gt;"", XLOOKUP(A264, Extrato!$D:$D, Extrato!$B:$B, ""), "")</f>
        <v/>
      </c>
      <c r="G264">
        <f>IF(A264&lt;&gt;"", XLOOKUP(A264, Extrato!$D:$D, Extrato!$C:$C, ""), "")</f>
        <v/>
      </c>
      <c r="H264">
        <f>IF(A264="", "", IF(E264="", "Pendente", IF(C264=G264, "OK", "Valor divergente")))</f>
        <v/>
      </c>
    </row>
    <row r="265">
      <c r="A265">
        <f>IF(NF!A263&lt;&gt;"", NF!A263, "")</f>
        <v/>
      </c>
      <c r="B265">
        <f>IF(A265&lt;&gt;"", NF!B263, "")</f>
        <v/>
      </c>
      <c r="C265">
        <f>IF(A265&lt;&gt;"", NF!C263, "")</f>
        <v/>
      </c>
      <c r="D265">
        <f>IF(A265&lt;&gt;"", NF!D263, "")</f>
        <v/>
      </c>
      <c r="E265">
        <f>IF(A265&lt;&gt;"", XLOOKUP(A265, Extrato!$D:$D, Extrato!$A:$A, ""), "")</f>
        <v/>
      </c>
      <c r="F265">
        <f>IF(A265&lt;&gt;"", XLOOKUP(A265, Extrato!$D:$D, Extrato!$B:$B, ""), "")</f>
        <v/>
      </c>
      <c r="G265">
        <f>IF(A265&lt;&gt;"", XLOOKUP(A265, Extrato!$D:$D, Extrato!$C:$C, ""), "")</f>
        <v/>
      </c>
      <c r="H265">
        <f>IF(A265="", "", IF(E265="", "Pendente", IF(C265=G265, "OK", "Valor divergente")))</f>
        <v/>
      </c>
    </row>
    <row r="266">
      <c r="A266">
        <f>IF(NF!A264&lt;&gt;"", NF!A264, "")</f>
        <v/>
      </c>
      <c r="B266">
        <f>IF(A266&lt;&gt;"", NF!B264, "")</f>
        <v/>
      </c>
      <c r="C266">
        <f>IF(A266&lt;&gt;"", NF!C264, "")</f>
        <v/>
      </c>
      <c r="D266">
        <f>IF(A266&lt;&gt;"", NF!D264, "")</f>
        <v/>
      </c>
      <c r="E266">
        <f>IF(A266&lt;&gt;"", XLOOKUP(A266, Extrato!$D:$D, Extrato!$A:$A, ""), "")</f>
        <v/>
      </c>
      <c r="F266">
        <f>IF(A266&lt;&gt;"", XLOOKUP(A266, Extrato!$D:$D, Extrato!$B:$B, ""), "")</f>
        <v/>
      </c>
      <c r="G266">
        <f>IF(A266&lt;&gt;"", XLOOKUP(A266, Extrato!$D:$D, Extrato!$C:$C, ""), "")</f>
        <v/>
      </c>
      <c r="H266">
        <f>IF(A266="", "", IF(E266="", "Pendente", IF(C266=G266, "OK", "Valor divergente")))</f>
        <v/>
      </c>
    </row>
    <row r="267">
      <c r="A267">
        <f>IF(NF!A265&lt;&gt;"", NF!A265, "")</f>
        <v/>
      </c>
      <c r="B267">
        <f>IF(A267&lt;&gt;"", NF!B265, "")</f>
        <v/>
      </c>
      <c r="C267">
        <f>IF(A267&lt;&gt;"", NF!C265, "")</f>
        <v/>
      </c>
      <c r="D267">
        <f>IF(A267&lt;&gt;"", NF!D265, "")</f>
        <v/>
      </c>
      <c r="E267">
        <f>IF(A267&lt;&gt;"", XLOOKUP(A267, Extrato!$D:$D, Extrato!$A:$A, ""), "")</f>
        <v/>
      </c>
      <c r="F267">
        <f>IF(A267&lt;&gt;"", XLOOKUP(A267, Extrato!$D:$D, Extrato!$B:$B, ""), "")</f>
        <v/>
      </c>
      <c r="G267">
        <f>IF(A267&lt;&gt;"", XLOOKUP(A267, Extrato!$D:$D, Extrato!$C:$C, ""), "")</f>
        <v/>
      </c>
      <c r="H267">
        <f>IF(A267="", "", IF(E267="", "Pendente", IF(C267=G267, "OK", "Valor divergente")))</f>
        <v/>
      </c>
    </row>
    <row r="268">
      <c r="A268">
        <f>IF(NF!A266&lt;&gt;"", NF!A266, "")</f>
        <v/>
      </c>
      <c r="B268">
        <f>IF(A268&lt;&gt;"", NF!B266, "")</f>
        <v/>
      </c>
      <c r="C268">
        <f>IF(A268&lt;&gt;"", NF!C266, "")</f>
        <v/>
      </c>
      <c r="D268">
        <f>IF(A268&lt;&gt;"", NF!D266, "")</f>
        <v/>
      </c>
      <c r="E268">
        <f>IF(A268&lt;&gt;"", XLOOKUP(A268, Extrato!$D:$D, Extrato!$A:$A, ""), "")</f>
        <v/>
      </c>
      <c r="F268">
        <f>IF(A268&lt;&gt;"", XLOOKUP(A268, Extrato!$D:$D, Extrato!$B:$B, ""), "")</f>
        <v/>
      </c>
      <c r="G268">
        <f>IF(A268&lt;&gt;"", XLOOKUP(A268, Extrato!$D:$D, Extrato!$C:$C, ""), "")</f>
        <v/>
      </c>
      <c r="H268">
        <f>IF(A268="", "", IF(E268="", "Pendente", IF(C268=G268, "OK", "Valor divergente")))</f>
        <v/>
      </c>
    </row>
    <row r="269">
      <c r="A269">
        <f>IF(NF!A267&lt;&gt;"", NF!A267, "")</f>
        <v/>
      </c>
      <c r="B269">
        <f>IF(A269&lt;&gt;"", NF!B267, "")</f>
        <v/>
      </c>
      <c r="C269">
        <f>IF(A269&lt;&gt;"", NF!C267, "")</f>
        <v/>
      </c>
      <c r="D269">
        <f>IF(A269&lt;&gt;"", NF!D267, "")</f>
        <v/>
      </c>
      <c r="E269">
        <f>IF(A269&lt;&gt;"", XLOOKUP(A269, Extrato!$D:$D, Extrato!$A:$A, ""), "")</f>
        <v/>
      </c>
      <c r="F269">
        <f>IF(A269&lt;&gt;"", XLOOKUP(A269, Extrato!$D:$D, Extrato!$B:$B, ""), "")</f>
        <v/>
      </c>
      <c r="G269">
        <f>IF(A269&lt;&gt;"", XLOOKUP(A269, Extrato!$D:$D, Extrato!$C:$C, ""), "")</f>
        <v/>
      </c>
      <c r="H269">
        <f>IF(A269="", "", IF(E269="", "Pendente", IF(C269=G269, "OK", "Valor divergente")))</f>
        <v/>
      </c>
    </row>
    <row r="270">
      <c r="A270">
        <f>IF(NF!A268&lt;&gt;"", NF!A268, "")</f>
        <v/>
      </c>
      <c r="B270">
        <f>IF(A270&lt;&gt;"", NF!B268, "")</f>
        <v/>
      </c>
      <c r="C270">
        <f>IF(A270&lt;&gt;"", NF!C268, "")</f>
        <v/>
      </c>
      <c r="D270">
        <f>IF(A270&lt;&gt;"", NF!D268, "")</f>
        <v/>
      </c>
      <c r="E270">
        <f>IF(A270&lt;&gt;"", XLOOKUP(A270, Extrato!$D:$D, Extrato!$A:$A, ""), "")</f>
        <v/>
      </c>
      <c r="F270">
        <f>IF(A270&lt;&gt;"", XLOOKUP(A270, Extrato!$D:$D, Extrato!$B:$B, ""), "")</f>
        <v/>
      </c>
      <c r="G270">
        <f>IF(A270&lt;&gt;"", XLOOKUP(A270, Extrato!$D:$D, Extrato!$C:$C, ""), "")</f>
        <v/>
      </c>
      <c r="H270">
        <f>IF(A270="", "", IF(E270="", "Pendente", IF(C270=G270, "OK", "Valor divergente")))</f>
        <v/>
      </c>
    </row>
    <row r="271">
      <c r="A271">
        <f>IF(NF!A269&lt;&gt;"", NF!A269, "")</f>
        <v/>
      </c>
      <c r="B271">
        <f>IF(A271&lt;&gt;"", NF!B269, "")</f>
        <v/>
      </c>
      <c r="C271">
        <f>IF(A271&lt;&gt;"", NF!C269, "")</f>
        <v/>
      </c>
      <c r="D271">
        <f>IF(A271&lt;&gt;"", NF!D269, "")</f>
        <v/>
      </c>
      <c r="E271">
        <f>IF(A271&lt;&gt;"", XLOOKUP(A271, Extrato!$D:$D, Extrato!$A:$A, ""), "")</f>
        <v/>
      </c>
      <c r="F271">
        <f>IF(A271&lt;&gt;"", XLOOKUP(A271, Extrato!$D:$D, Extrato!$B:$B, ""), "")</f>
        <v/>
      </c>
      <c r="G271">
        <f>IF(A271&lt;&gt;"", XLOOKUP(A271, Extrato!$D:$D, Extrato!$C:$C, ""), "")</f>
        <v/>
      </c>
      <c r="H271">
        <f>IF(A271="", "", IF(E271="", "Pendente", IF(C271=G271, "OK", "Valor divergente")))</f>
        <v/>
      </c>
    </row>
    <row r="272">
      <c r="A272">
        <f>IF(NF!A270&lt;&gt;"", NF!A270, "")</f>
        <v/>
      </c>
      <c r="B272">
        <f>IF(A272&lt;&gt;"", NF!B270, "")</f>
        <v/>
      </c>
      <c r="C272">
        <f>IF(A272&lt;&gt;"", NF!C270, "")</f>
        <v/>
      </c>
      <c r="D272">
        <f>IF(A272&lt;&gt;"", NF!D270, "")</f>
        <v/>
      </c>
      <c r="E272">
        <f>IF(A272&lt;&gt;"", XLOOKUP(A272, Extrato!$D:$D, Extrato!$A:$A, ""), "")</f>
        <v/>
      </c>
      <c r="F272">
        <f>IF(A272&lt;&gt;"", XLOOKUP(A272, Extrato!$D:$D, Extrato!$B:$B, ""), "")</f>
        <v/>
      </c>
      <c r="G272">
        <f>IF(A272&lt;&gt;"", XLOOKUP(A272, Extrato!$D:$D, Extrato!$C:$C, ""), "")</f>
        <v/>
      </c>
      <c r="H272">
        <f>IF(A272="", "", IF(E272="", "Pendente", IF(C272=G272, "OK", "Valor divergente")))</f>
        <v/>
      </c>
    </row>
    <row r="273">
      <c r="A273">
        <f>IF(NF!A271&lt;&gt;"", NF!A271, "")</f>
        <v/>
      </c>
      <c r="B273">
        <f>IF(A273&lt;&gt;"", NF!B271, "")</f>
        <v/>
      </c>
      <c r="C273">
        <f>IF(A273&lt;&gt;"", NF!C271, "")</f>
        <v/>
      </c>
      <c r="D273">
        <f>IF(A273&lt;&gt;"", NF!D271, "")</f>
        <v/>
      </c>
      <c r="E273">
        <f>IF(A273&lt;&gt;"", XLOOKUP(A273, Extrato!$D:$D, Extrato!$A:$A, ""), "")</f>
        <v/>
      </c>
      <c r="F273">
        <f>IF(A273&lt;&gt;"", XLOOKUP(A273, Extrato!$D:$D, Extrato!$B:$B, ""), "")</f>
        <v/>
      </c>
      <c r="G273">
        <f>IF(A273&lt;&gt;"", XLOOKUP(A273, Extrato!$D:$D, Extrato!$C:$C, ""), "")</f>
        <v/>
      </c>
      <c r="H273">
        <f>IF(A273="", "", IF(E273="", "Pendente", IF(C273=G273, "OK", "Valor divergente")))</f>
        <v/>
      </c>
    </row>
    <row r="274">
      <c r="A274">
        <f>IF(NF!A272&lt;&gt;"", NF!A272, "")</f>
        <v/>
      </c>
      <c r="B274">
        <f>IF(A274&lt;&gt;"", NF!B272, "")</f>
        <v/>
      </c>
      <c r="C274">
        <f>IF(A274&lt;&gt;"", NF!C272, "")</f>
        <v/>
      </c>
      <c r="D274">
        <f>IF(A274&lt;&gt;"", NF!D272, "")</f>
        <v/>
      </c>
      <c r="E274">
        <f>IF(A274&lt;&gt;"", XLOOKUP(A274, Extrato!$D:$D, Extrato!$A:$A, ""), "")</f>
        <v/>
      </c>
      <c r="F274">
        <f>IF(A274&lt;&gt;"", XLOOKUP(A274, Extrato!$D:$D, Extrato!$B:$B, ""), "")</f>
        <v/>
      </c>
      <c r="G274">
        <f>IF(A274&lt;&gt;"", XLOOKUP(A274, Extrato!$D:$D, Extrato!$C:$C, ""), "")</f>
        <v/>
      </c>
      <c r="H274">
        <f>IF(A274="", "", IF(E274="", "Pendente", IF(C274=G274, "OK", "Valor divergente")))</f>
        <v/>
      </c>
    </row>
    <row r="275">
      <c r="A275">
        <f>IF(NF!A273&lt;&gt;"", NF!A273, "")</f>
        <v/>
      </c>
      <c r="B275">
        <f>IF(A275&lt;&gt;"", NF!B273, "")</f>
        <v/>
      </c>
      <c r="C275">
        <f>IF(A275&lt;&gt;"", NF!C273, "")</f>
        <v/>
      </c>
      <c r="D275">
        <f>IF(A275&lt;&gt;"", NF!D273, "")</f>
        <v/>
      </c>
      <c r="E275">
        <f>IF(A275&lt;&gt;"", XLOOKUP(A275, Extrato!$D:$D, Extrato!$A:$A, ""), "")</f>
        <v/>
      </c>
      <c r="F275">
        <f>IF(A275&lt;&gt;"", XLOOKUP(A275, Extrato!$D:$D, Extrato!$B:$B, ""), "")</f>
        <v/>
      </c>
      <c r="G275">
        <f>IF(A275&lt;&gt;"", XLOOKUP(A275, Extrato!$D:$D, Extrato!$C:$C, ""), "")</f>
        <v/>
      </c>
      <c r="H275">
        <f>IF(A275="", "", IF(E275="", "Pendente", IF(C275=G275, "OK", "Valor divergente")))</f>
        <v/>
      </c>
    </row>
    <row r="276">
      <c r="A276">
        <f>IF(NF!A274&lt;&gt;"", NF!A274, "")</f>
        <v/>
      </c>
      <c r="B276">
        <f>IF(A276&lt;&gt;"", NF!B274, "")</f>
        <v/>
      </c>
      <c r="C276">
        <f>IF(A276&lt;&gt;"", NF!C274, "")</f>
        <v/>
      </c>
      <c r="D276">
        <f>IF(A276&lt;&gt;"", NF!D274, "")</f>
        <v/>
      </c>
      <c r="E276">
        <f>IF(A276&lt;&gt;"", XLOOKUP(A276, Extrato!$D:$D, Extrato!$A:$A, ""), "")</f>
        <v/>
      </c>
      <c r="F276">
        <f>IF(A276&lt;&gt;"", XLOOKUP(A276, Extrato!$D:$D, Extrato!$B:$B, ""), "")</f>
        <v/>
      </c>
      <c r="G276">
        <f>IF(A276&lt;&gt;"", XLOOKUP(A276, Extrato!$D:$D, Extrato!$C:$C, ""), "")</f>
        <v/>
      </c>
      <c r="H276">
        <f>IF(A276="", "", IF(E276="", "Pendente", IF(C276=G276, "OK", "Valor divergente")))</f>
        <v/>
      </c>
    </row>
    <row r="277">
      <c r="A277">
        <f>IF(NF!A275&lt;&gt;"", NF!A275, "")</f>
        <v/>
      </c>
      <c r="B277">
        <f>IF(A277&lt;&gt;"", NF!B275, "")</f>
        <v/>
      </c>
      <c r="C277">
        <f>IF(A277&lt;&gt;"", NF!C275, "")</f>
        <v/>
      </c>
      <c r="D277">
        <f>IF(A277&lt;&gt;"", NF!D275, "")</f>
        <v/>
      </c>
      <c r="E277">
        <f>IF(A277&lt;&gt;"", XLOOKUP(A277, Extrato!$D:$D, Extrato!$A:$A, ""), "")</f>
        <v/>
      </c>
      <c r="F277">
        <f>IF(A277&lt;&gt;"", XLOOKUP(A277, Extrato!$D:$D, Extrato!$B:$B, ""), "")</f>
        <v/>
      </c>
      <c r="G277">
        <f>IF(A277&lt;&gt;"", XLOOKUP(A277, Extrato!$D:$D, Extrato!$C:$C, ""), "")</f>
        <v/>
      </c>
      <c r="H277">
        <f>IF(A277="", "", IF(E277="", "Pendente", IF(C277=G277, "OK", "Valor divergente")))</f>
        <v/>
      </c>
    </row>
    <row r="278">
      <c r="A278">
        <f>IF(NF!A276&lt;&gt;"", NF!A276, "")</f>
        <v/>
      </c>
      <c r="B278">
        <f>IF(A278&lt;&gt;"", NF!B276, "")</f>
        <v/>
      </c>
      <c r="C278">
        <f>IF(A278&lt;&gt;"", NF!C276, "")</f>
        <v/>
      </c>
      <c r="D278">
        <f>IF(A278&lt;&gt;"", NF!D276, "")</f>
        <v/>
      </c>
      <c r="E278">
        <f>IF(A278&lt;&gt;"", XLOOKUP(A278, Extrato!$D:$D, Extrato!$A:$A, ""), "")</f>
        <v/>
      </c>
      <c r="F278">
        <f>IF(A278&lt;&gt;"", XLOOKUP(A278, Extrato!$D:$D, Extrato!$B:$B, ""), "")</f>
        <v/>
      </c>
      <c r="G278">
        <f>IF(A278&lt;&gt;"", XLOOKUP(A278, Extrato!$D:$D, Extrato!$C:$C, ""), "")</f>
        <v/>
      </c>
      <c r="H278">
        <f>IF(A278="", "", IF(E278="", "Pendente", IF(C278=G278, "OK", "Valor divergente")))</f>
        <v/>
      </c>
    </row>
    <row r="279">
      <c r="A279">
        <f>IF(NF!A277&lt;&gt;"", NF!A277, "")</f>
        <v/>
      </c>
      <c r="B279">
        <f>IF(A279&lt;&gt;"", NF!B277, "")</f>
        <v/>
      </c>
      <c r="C279">
        <f>IF(A279&lt;&gt;"", NF!C277, "")</f>
        <v/>
      </c>
      <c r="D279">
        <f>IF(A279&lt;&gt;"", NF!D277, "")</f>
        <v/>
      </c>
      <c r="E279">
        <f>IF(A279&lt;&gt;"", XLOOKUP(A279, Extrato!$D:$D, Extrato!$A:$A, ""), "")</f>
        <v/>
      </c>
      <c r="F279">
        <f>IF(A279&lt;&gt;"", XLOOKUP(A279, Extrato!$D:$D, Extrato!$B:$B, ""), "")</f>
        <v/>
      </c>
      <c r="G279">
        <f>IF(A279&lt;&gt;"", XLOOKUP(A279, Extrato!$D:$D, Extrato!$C:$C, ""), "")</f>
        <v/>
      </c>
      <c r="H279">
        <f>IF(A279="", "", IF(E279="", "Pendente", IF(C279=G279, "OK", "Valor divergente")))</f>
        <v/>
      </c>
    </row>
    <row r="280">
      <c r="A280">
        <f>IF(NF!A278&lt;&gt;"", NF!A278, "")</f>
        <v/>
      </c>
      <c r="B280">
        <f>IF(A280&lt;&gt;"", NF!B278, "")</f>
        <v/>
      </c>
      <c r="C280">
        <f>IF(A280&lt;&gt;"", NF!C278, "")</f>
        <v/>
      </c>
      <c r="D280">
        <f>IF(A280&lt;&gt;"", NF!D278, "")</f>
        <v/>
      </c>
      <c r="E280">
        <f>IF(A280&lt;&gt;"", XLOOKUP(A280, Extrato!$D:$D, Extrato!$A:$A, ""), "")</f>
        <v/>
      </c>
      <c r="F280">
        <f>IF(A280&lt;&gt;"", XLOOKUP(A280, Extrato!$D:$D, Extrato!$B:$B, ""), "")</f>
        <v/>
      </c>
      <c r="G280">
        <f>IF(A280&lt;&gt;"", XLOOKUP(A280, Extrato!$D:$D, Extrato!$C:$C, ""), "")</f>
        <v/>
      </c>
      <c r="H280">
        <f>IF(A280="", "", IF(E280="", "Pendente", IF(C280=G280, "OK", "Valor divergente")))</f>
        <v/>
      </c>
    </row>
    <row r="281">
      <c r="A281">
        <f>IF(NF!A279&lt;&gt;"", NF!A279, "")</f>
        <v/>
      </c>
      <c r="B281">
        <f>IF(A281&lt;&gt;"", NF!B279, "")</f>
        <v/>
      </c>
      <c r="C281">
        <f>IF(A281&lt;&gt;"", NF!C279, "")</f>
        <v/>
      </c>
      <c r="D281">
        <f>IF(A281&lt;&gt;"", NF!D279, "")</f>
        <v/>
      </c>
      <c r="E281">
        <f>IF(A281&lt;&gt;"", XLOOKUP(A281, Extrato!$D:$D, Extrato!$A:$A, ""), "")</f>
        <v/>
      </c>
      <c r="F281">
        <f>IF(A281&lt;&gt;"", XLOOKUP(A281, Extrato!$D:$D, Extrato!$B:$B, ""), "")</f>
        <v/>
      </c>
      <c r="G281">
        <f>IF(A281&lt;&gt;"", XLOOKUP(A281, Extrato!$D:$D, Extrato!$C:$C, ""), "")</f>
        <v/>
      </c>
      <c r="H281">
        <f>IF(A281="", "", IF(E281="", "Pendente", IF(C281=G281, "OK", "Valor divergente")))</f>
        <v/>
      </c>
    </row>
    <row r="282">
      <c r="A282">
        <f>IF(NF!A280&lt;&gt;"", NF!A280, "")</f>
        <v/>
      </c>
      <c r="B282">
        <f>IF(A282&lt;&gt;"", NF!B280, "")</f>
        <v/>
      </c>
      <c r="C282">
        <f>IF(A282&lt;&gt;"", NF!C280, "")</f>
        <v/>
      </c>
      <c r="D282">
        <f>IF(A282&lt;&gt;"", NF!D280, "")</f>
        <v/>
      </c>
      <c r="E282">
        <f>IF(A282&lt;&gt;"", XLOOKUP(A282, Extrato!$D:$D, Extrato!$A:$A, ""), "")</f>
        <v/>
      </c>
      <c r="F282">
        <f>IF(A282&lt;&gt;"", XLOOKUP(A282, Extrato!$D:$D, Extrato!$B:$B, ""), "")</f>
        <v/>
      </c>
      <c r="G282">
        <f>IF(A282&lt;&gt;"", XLOOKUP(A282, Extrato!$D:$D, Extrato!$C:$C, ""), "")</f>
        <v/>
      </c>
      <c r="H282">
        <f>IF(A282="", "", IF(E282="", "Pendente", IF(C282=G282, "OK", "Valor divergente")))</f>
        <v/>
      </c>
    </row>
    <row r="283">
      <c r="A283">
        <f>IF(NF!A281&lt;&gt;"", NF!A281, "")</f>
        <v/>
      </c>
      <c r="B283">
        <f>IF(A283&lt;&gt;"", NF!B281, "")</f>
        <v/>
      </c>
      <c r="C283">
        <f>IF(A283&lt;&gt;"", NF!C281, "")</f>
        <v/>
      </c>
      <c r="D283">
        <f>IF(A283&lt;&gt;"", NF!D281, "")</f>
        <v/>
      </c>
      <c r="E283">
        <f>IF(A283&lt;&gt;"", XLOOKUP(A283, Extrato!$D:$D, Extrato!$A:$A, ""), "")</f>
        <v/>
      </c>
      <c r="F283">
        <f>IF(A283&lt;&gt;"", XLOOKUP(A283, Extrato!$D:$D, Extrato!$B:$B, ""), "")</f>
        <v/>
      </c>
      <c r="G283">
        <f>IF(A283&lt;&gt;"", XLOOKUP(A283, Extrato!$D:$D, Extrato!$C:$C, ""), "")</f>
        <v/>
      </c>
      <c r="H283">
        <f>IF(A283="", "", IF(E283="", "Pendente", IF(C283=G283, "OK", "Valor divergente")))</f>
        <v/>
      </c>
    </row>
    <row r="284">
      <c r="A284">
        <f>IF(NF!A282&lt;&gt;"", NF!A282, "")</f>
        <v/>
      </c>
      <c r="B284">
        <f>IF(A284&lt;&gt;"", NF!B282, "")</f>
        <v/>
      </c>
      <c r="C284">
        <f>IF(A284&lt;&gt;"", NF!C282, "")</f>
        <v/>
      </c>
      <c r="D284">
        <f>IF(A284&lt;&gt;"", NF!D282, "")</f>
        <v/>
      </c>
      <c r="E284">
        <f>IF(A284&lt;&gt;"", XLOOKUP(A284, Extrato!$D:$D, Extrato!$A:$A, ""), "")</f>
        <v/>
      </c>
      <c r="F284">
        <f>IF(A284&lt;&gt;"", XLOOKUP(A284, Extrato!$D:$D, Extrato!$B:$B, ""), "")</f>
        <v/>
      </c>
      <c r="G284">
        <f>IF(A284&lt;&gt;"", XLOOKUP(A284, Extrato!$D:$D, Extrato!$C:$C, ""), "")</f>
        <v/>
      </c>
      <c r="H284">
        <f>IF(A284="", "", IF(E284="", "Pendente", IF(C284=G284, "OK", "Valor divergente")))</f>
        <v/>
      </c>
    </row>
    <row r="285">
      <c r="A285">
        <f>IF(NF!A283&lt;&gt;"", NF!A283, "")</f>
        <v/>
      </c>
      <c r="B285">
        <f>IF(A285&lt;&gt;"", NF!B283, "")</f>
        <v/>
      </c>
      <c r="C285">
        <f>IF(A285&lt;&gt;"", NF!C283, "")</f>
        <v/>
      </c>
      <c r="D285">
        <f>IF(A285&lt;&gt;"", NF!D283, "")</f>
        <v/>
      </c>
      <c r="E285">
        <f>IF(A285&lt;&gt;"", XLOOKUP(A285, Extrato!$D:$D, Extrato!$A:$A, ""), "")</f>
        <v/>
      </c>
      <c r="F285">
        <f>IF(A285&lt;&gt;"", XLOOKUP(A285, Extrato!$D:$D, Extrato!$B:$B, ""), "")</f>
        <v/>
      </c>
      <c r="G285">
        <f>IF(A285&lt;&gt;"", XLOOKUP(A285, Extrato!$D:$D, Extrato!$C:$C, ""), "")</f>
        <v/>
      </c>
      <c r="H285">
        <f>IF(A285="", "", IF(E285="", "Pendente", IF(C285=G285, "OK", "Valor divergente")))</f>
        <v/>
      </c>
    </row>
    <row r="286">
      <c r="A286">
        <f>IF(NF!A284&lt;&gt;"", NF!A284, "")</f>
        <v/>
      </c>
      <c r="B286">
        <f>IF(A286&lt;&gt;"", NF!B284, "")</f>
        <v/>
      </c>
      <c r="C286">
        <f>IF(A286&lt;&gt;"", NF!C284, "")</f>
        <v/>
      </c>
      <c r="D286">
        <f>IF(A286&lt;&gt;"", NF!D284, "")</f>
        <v/>
      </c>
      <c r="E286">
        <f>IF(A286&lt;&gt;"", XLOOKUP(A286, Extrato!$D:$D, Extrato!$A:$A, ""), "")</f>
        <v/>
      </c>
      <c r="F286">
        <f>IF(A286&lt;&gt;"", XLOOKUP(A286, Extrato!$D:$D, Extrato!$B:$B, ""), "")</f>
        <v/>
      </c>
      <c r="G286">
        <f>IF(A286&lt;&gt;"", XLOOKUP(A286, Extrato!$D:$D, Extrato!$C:$C, ""), "")</f>
        <v/>
      </c>
      <c r="H286">
        <f>IF(A286="", "", IF(E286="", "Pendente", IF(C286=G286, "OK", "Valor divergente")))</f>
        <v/>
      </c>
    </row>
    <row r="287">
      <c r="A287">
        <f>IF(NF!A285&lt;&gt;"", NF!A285, "")</f>
        <v/>
      </c>
      <c r="B287">
        <f>IF(A287&lt;&gt;"", NF!B285, "")</f>
        <v/>
      </c>
      <c r="C287">
        <f>IF(A287&lt;&gt;"", NF!C285, "")</f>
        <v/>
      </c>
      <c r="D287">
        <f>IF(A287&lt;&gt;"", NF!D285, "")</f>
        <v/>
      </c>
      <c r="E287">
        <f>IF(A287&lt;&gt;"", XLOOKUP(A287, Extrato!$D:$D, Extrato!$A:$A, ""), "")</f>
        <v/>
      </c>
      <c r="F287">
        <f>IF(A287&lt;&gt;"", XLOOKUP(A287, Extrato!$D:$D, Extrato!$B:$B, ""), "")</f>
        <v/>
      </c>
      <c r="G287">
        <f>IF(A287&lt;&gt;"", XLOOKUP(A287, Extrato!$D:$D, Extrato!$C:$C, ""), "")</f>
        <v/>
      </c>
      <c r="H287">
        <f>IF(A287="", "", IF(E287="", "Pendente", IF(C287=G287, "OK", "Valor divergente")))</f>
        <v/>
      </c>
    </row>
    <row r="288">
      <c r="A288">
        <f>IF(NF!A286&lt;&gt;"", NF!A286, "")</f>
        <v/>
      </c>
      <c r="B288">
        <f>IF(A288&lt;&gt;"", NF!B286, "")</f>
        <v/>
      </c>
      <c r="C288">
        <f>IF(A288&lt;&gt;"", NF!C286, "")</f>
        <v/>
      </c>
      <c r="D288">
        <f>IF(A288&lt;&gt;"", NF!D286, "")</f>
        <v/>
      </c>
      <c r="E288">
        <f>IF(A288&lt;&gt;"", XLOOKUP(A288, Extrato!$D:$D, Extrato!$A:$A, ""), "")</f>
        <v/>
      </c>
      <c r="F288">
        <f>IF(A288&lt;&gt;"", XLOOKUP(A288, Extrato!$D:$D, Extrato!$B:$B, ""), "")</f>
        <v/>
      </c>
      <c r="G288">
        <f>IF(A288&lt;&gt;"", XLOOKUP(A288, Extrato!$D:$D, Extrato!$C:$C, ""), "")</f>
        <v/>
      </c>
      <c r="H288">
        <f>IF(A288="", "", IF(E288="", "Pendente", IF(C288=G288, "OK", "Valor divergente")))</f>
        <v/>
      </c>
    </row>
    <row r="289">
      <c r="A289">
        <f>IF(NF!A287&lt;&gt;"", NF!A287, "")</f>
        <v/>
      </c>
      <c r="B289">
        <f>IF(A289&lt;&gt;"", NF!B287, "")</f>
        <v/>
      </c>
      <c r="C289">
        <f>IF(A289&lt;&gt;"", NF!C287, "")</f>
        <v/>
      </c>
      <c r="D289">
        <f>IF(A289&lt;&gt;"", NF!D287, "")</f>
        <v/>
      </c>
      <c r="E289">
        <f>IF(A289&lt;&gt;"", XLOOKUP(A289, Extrato!$D:$D, Extrato!$A:$A, ""), "")</f>
        <v/>
      </c>
      <c r="F289">
        <f>IF(A289&lt;&gt;"", XLOOKUP(A289, Extrato!$D:$D, Extrato!$B:$B, ""), "")</f>
        <v/>
      </c>
      <c r="G289">
        <f>IF(A289&lt;&gt;"", XLOOKUP(A289, Extrato!$D:$D, Extrato!$C:$C, ""), "")</f>
        <v/>
      </c>
      <c r="H289">
        <f>IF(A289="", "", IF(E289="", "Pendente", IF(C289=G289, "OK", "Valor divergente")))</f>
        <v/>
      </c>
    </row>
    <row r="290">
      <c r="A290">
        <f>IF(NF!A288&lt;&gt;"", NF!A288, "")</f>
        <v/>
      </c>
      <c r="B290">
        <f>IF(A290&lt;&gt;"", NF!B288, "")</f>
        <v/>
      </c>
      <c r="C290">
        <f>IF(A290&lt;&gt;"", NF!C288, "")</f>
        <v/>
      </c>
      <c r="D290">
        <f>IF(A290&lt;&gt;"", NF!D288, "")</f>
        <v/>
      </c>
      <c r="E290">
        <f>IF(A290&lt;&gt;"", XLOOKUP(A290, Extrato!$D:$D, Extrato!$A:$A, ""), "")</f>
        <v/>
      </c>
      <c r="F290">
        <f>IF(A290&lt;&gt;"", XLOOKUP(A290, Extrato!$D:$D, Extrato!$B:$B, ""), "")</f>
        <v/>
      </c>
      <c r="G290">
        <f>IF(A290&lt;&gt;"", XLOOKUP(A290, Extrato!$D:$D, Extrato!$C:$C, ""), "")</f>
        <v/>
      </c>
      <c r="H290">
        <f>IF(A290="", "", IF(E290="", "Pendente", IF(C290=G290, "OK", "Valor divergente")))</f>
        <v/>
      </c>
    </row>
    <row r="291">
      <c r="A291">
        <f>IF(NF!A289&lt;&gt;"", NF!A289, "")</f>
        <v/>
      </c>
      <c r="B291">
        <f>IF(A291&lt;&gt;"", NF!B289, "")</f>
        <v/>
      </c>
      <c r="C291">
        <f>IF(A291&lt;&gt;"", NF!C289, "")</f>
        <v/>
      </c>
      <c r="D291">
        <f>IF(A291&lt;&gt;"", NF!D289, "")</f>
        <v/>
      </c>
      <c r="E291">
        <f>IF(A291&lt;&gt;"", XLOOKUP(A291, Extrato!$D:$D, Extrato!$A:$A, ""), "")</f>
        <v/>
      </c>
      <c r="F291">
        <f>IF(A291&lt;&gt;"", XLOOKUP(A291, Extrato!$D:$D, Extrato!$B:$B, ""), "")</f>
        <v/>
      </c>
      <c r="G291">
        <f>IF(A291&lt;&gt;"", XLOOKUP(A291, Extrato!$D:$D, Extrato!$C:$C, ""), "")</f>
        <v/>
      </c>
      <c r="H291">
        <f>IF(A291="", "", IF(E291="", "Pendente", IF(C291=G291, "OK", "Valor divergente")))</f>
        <v/>
      </c>
    </row>
    <row r="292">
      <c r="A292">
        <f>IF(NF!A290&lt;&gt;"", NF!A290, "")</f>
        <v/>
      </c>
      <c r="B292">
        <f>IF(A292&lt;&gt;"", NF!B290, "")</f>
        <v/>
      </c>
      <c r="C292">
        <f>IF(A292&lt;&gt;"", NF!C290, "")</f>
        <v/>
      </c>
      <c r="D292">
        <f>IF(A292&lt;&gt;"", NF!D290, "")</f>
        <v/>
      </c>
      <c r="E292">
        <f>IF(A292&lt;&gt;"", XLOOKUP(A292, Extrato!$D:$D, Extrato!$A:$A, ""), "")</f>
        <v/>
      </c>
      <c r="F292">
        <f>IF(A292&lt;&gt;"", XLOOKUP(A292, Extrato!$D:$D, Extrato!$B:$B, ""), "")</f>
        <v/>
      </c>
      <c r="G292">
        <f>IF(A292&lt;&gt;"", XLOOKUP(A292, Extrato!$D:$D, Extrato!$C:$C, ""), "")</f>
        <v/>
      </c>
      <c r="H292">
        <f>IF(A292="", "", IF(E292="", "Pendente", IF(C292=G292, "OK", "Valor divergente")))</f>
        <v/>
      </c>
    </row>
    <row r="293">
      <c r="A293">
        <f>IF(NF!A291&lt;&gt;"", NF!A291, "")</f>
        <v/>
      </c>
      <c r="B293">
        <f>IF(A293&lt;&gt;"", NF!B291, "")</f>
        <v/>
      </c>
      <c r="C293">
        <f>IF(A293&lt;&gt;"", NF!C291, "")</f>
        <v/>
      </c>
      <c r="D293">
        <f>IF(A293&lt;&gt;"", NF!D291, "")</f>
        <v/>
      </c>
      <c r="E293">
        <f>IF(A293&lt;&gt;"", XLOOKUP(A293, Extrato!$D:$D, Extrato!$A:$A, ""), "")</f>
        <v/>
      </c>
      <c r="F293">
        <f>IF(A293&lt;&gt;"", XLOOKUP(A293, Extrato!$D:$D, Extrato!$B:$B, ""), "")</f>
        <v/>
      </c>
      <c r="G293">
        <f>IF(A293&lt;&gt;"", XLOOKUP(A293, Extrato!$D:$D, Extrato!$C:$C, ""), "")</f>
        <v/>
      </c>
      <c r="H293">
        <f>IF(A293="", "", IF(E293="", "Pendente", IF(C293=G293, "OK", "Valor divergente")))</f>
        <v/>
      </c>
    </row>
    <row r="294">
      <c r="A294">
        <f>IF(NF!A292&lt;&gt;"", NF!A292, "")</f>
        <v/>
      </c>
      <c r="B294">
        <f>IF(A294&lt;&gt;"", NF!B292, "")</f>
        <v/>
      </c>
      <c r="C294">
        <f>IF(A294&lt;&gt;"", NF!C292, "")</f>
        <v/>
      </c>
      <c r="D294">
        <f>IF(A294&lt;&gt;"", NF!D292, "")</f>
        <v/>
      </c>
      <c r="E294">
        <f>IF(A294&lt;&gt;"", XLOOKUP(A294, Extrato!$D:$D, Extrato!$A:$A, ""), "")</f>
        <v/>
      </c>
      <c r="F294">
        <f>IF(A294&lt;&gt;"", XLOOKUP(A294, Extrato!$D:$D, Extrato!$B:$B, ""), "")</f>
        <v/>
      </c>
      <c r="G294">
        <f>IF(A294&lt;&gt;"", XLOOKUP(A294, Extrato!$D:$D, Extrato!$C:$C, ""), "")</f>
        <v/>
      </c>
      <c r="H294">
        <f>IF(A294="", "", IF(E294="", "Pendente", IF(C294=G294, "OK", "Valor divergente")))</f>
        <v/>
      </c>
    </row>
    <row r="295">
      <c r="A295">
        <f>IF(NF!A293&lt;&gt;"", NF!A293, "")</f>
        <v/>
      </c>
      <c r="B295">
        <f>IF(A295&lt;&gt;"", NF!B293, "")</f>
        <v/>
      </c>
      <c r="C295">
        <f>IF(A295&lt;&gt;"", NF!C293, "")</f>
        <v/>
      </c>
      <c r="D295">
        <f>IF(A295&lt;&gt;"", NF!D293, "")</f>
        <v/>
      </c>
      <c r="E295">
        <f>IF(A295&lt;&gt;"", XLOOKUP(A295, Extrato!$D:$D, Extrato!$A:$A, ""), "")</f>
        <v/>
      </c>
      <c r="F295">
        <f>IF(A295&lt;&gt;"", XLOOKUP(A295, Extrato!$D:$D, Extrato!$B:$B, ""), "")</f>
        <v/>
      </c>
      <c r="G295">
        <f>IF(A295&lt;&gt;"", XLOOKUP(A295, Extrato!$D:$D, Extrato!$C:$C, ""), "")</f>
        <v/>
      </c>
      <c r="H295">
        <f>IF(A295="", "", IF(E295="", "Pendente", IF(C295=G295, "OK", "Valor divergente")))</f>
        <v/>
      </c>
    </row>
    <row r="296">
      <c r="A296">
        <f>IF(NF!A294&lt;&gt;"", NF!A294, "")</f>
        <v/>
      </c>
      <c r="B296">
        <f>IF(A296&lt;&gt;"", NF!B294, "")</f>
        <v/>
      </c>
      <c r="C296">
        <f>IF(A296&lt;&gt;"", NF!C294, "")</f>
        <v/>
      </c>
      <c r="D296">
        <f>IF(A296&lt;&gt;"", NF!D294, "")</f>
        <v/>
      </c>
      <c r="E296">
        <f>IF(A296&lt;&gt;"", XLOOKUP(A296, Extrato!$D:$D, Extrato!$A:$A, ""), "")</f>
        <v/>
      </c>
      <c r="F296">
        <f>IF(A296&lt;&gt;"", XLOOKUP(A296, Extrato!$D:$D, Extrato!$B:$B, ""), "")</f>
        <v/>
      </c>
      <c r="G296">
        <f>IF(A296&lt;&gt;"", XLOOKUP(A296, Extrato!$D:$D, Extrato!$C:$C, ""), "")</f>
        <v/>
      </c>
      <c r="H296">
        <f>IF(A296="", "", IF(E296="", "Pendente", IF(C296=G296, "OK", "Valor divergente")))</f>
        <v/>
      </c>
    </row>
    <row r="297">
      <c r="A297">
        <f>IF(NF!A295&lt;&gt;"", NF!A295, "")</f>
        <v/>
      </c>
      <c r="B297">
        <f>IF(A297&lt;&gt;"", NF!B295, "")</f>
        <v/>
      </c>
      <c r="C297">
        <f>IF(A297&lt;&gt;"", NF!C295, "")</f>
        <v/>
      </c>
      <c r="D297">
        <f>IF(A297&lt;&gt;"", NF!D295, "")</f>
        <v/>
      </c>
      <c r="E297">
        <f>IF(A297&lt;&gt;"", XLOOKUP(A297, Extrato!$D:$D, Extrato!$A:$A, ""), "")</f>
        <v/>
      </c>
      <c r="F297">
        <f>IF(A297&lt;&gt;"", XLOOKUP(A297, Extrato!$D:$D, Extrato!$B:$B, ""), "")</f>
        <v/>
      </c>
      <c r="G297">
        <f>IF(A297&lt;&gt;"", XLOOKUP(A297, Extrato!$D:$D, Extrato!$C:$C, ""), "")</f>
        <v/>
      </c>
      <c r="H297">
        <f>IF(A297="", "", IF(E297="", "Pendente", IF(C297=G297, "OK", "Valor divergente")))</f>
        <v/>
      </c>
    </row>
    <row r="298">
      <c r="A298">
        <f>IF(NF!A296&lt;&gt;"", NF!A296, "")</f>
        <v/>
      </c>
      <c r="B298">
        <f>IF(A298&lt;&gt;"", NF!B296, "")</f>
        <v/>
      </c>
      <c r="C298">
        <f>IF(A298&lt;&gt;"", NF!C296, "")</f>
        <v/>
      </c>
      <c r="D298">
        <f>IF(A298&lt;&gt;"", NF!D296, "")</f>
        <v/>
      </c>
      <c r="E298">
        <f>IF(A298&lt;&gt;"", XLOOKUP(A298, Extrato!$D:$D, Extrato!$A:$A, ""), "")</f>
        <v/>
      </c>
      <c r="F298">
        <f>IF(A298&lt;&gt;"", XLOOKUP(A298, Extrato!$D:$D, Extrato!$B:$B, ""), "")</f>
        <v/>
      </c>
      <c r="G298">
        <f>IF(A298&lt;&gt;"", XLOOKUP(A298, Extrato!$D:$D, Extrato!$C:$C, ""), "")</f>
        <v/>
      </c>
      <c r="H298">
        <f>IF(A298="", "", IF(E298="", "Pendente", IF(C298=G298, "OK", "Valor divergente")))</f>
        <v/>
      </c>
    </row>
    <row r="299">
      <c r="A299">
        <f>IF(NF!A297&lt;&gt;"", NF!A297, "")</f>
        <v/>
      </c>
      <c r="B299">
        <f>IF(A299&lt;&gt;"", NF!B297, "")</f>
        <v/>
      </c>
      <c r="C299">
        <f>IF(A299&lt;&gt;"", NF!C297, "")</f>
        <v/>
      </c>
      <c r="D299">
        <f>IF(A299&lt;&gt;"", NF!D297, "")</f>
        <v/>
      </c>
      <c r="E299">
        <f>IF(A299&lt;&gt;"", XLOOKUP(A299, Extrato!$D:$D, Extrato!$A:$A, ""), "")</f>
        <v/>
      </c>
      <c r="F299">
        <f>IF(A299&lt;&gt;"", XLOOKUP(A299, Extrato!$D:$D, Extrato!$B:$B, ""), "")</f>
        <v/>
      </c>
      <c r="G299">
        <f>IF(A299&lt;&gt;"", XLOOKUP(A299, Extrato!$D:$D, Extrato!$C:$C, ""), "")</f>
        <v/>
      </c>
      <c r="H299">
        <f>IF(A299="", "", IF(E299="", "Pendente", IF(C299=G299, "OK", "Valor divergente")))</f>
        <v/>
      </c>
    </row>
    <row r="300">
      <c r="A300">
        <f>IF(NF!A298&lt;&gt;"", NF!A298, "")</f>
        <v/>
      </c>
      <c r="B300">
        <f>IF(A300&lt;&gt;"", NF!B298, "")</f>
        <v/>
      </c>
      <c r="C300">
        <f>IF(A300&lt;&gt;"", NF!C298, "")</f>
        <v/>
      </c>
      <c r="D300">
        <f>IF(A300&lt;&gt;"", NF!D298, "")</f>
        <v/>
      </c>
      <c r="E300">
        <f>IF(A300&lt;&gt;"", XLOOKUP(A300, Extrato!$D:$D, Extrato!$A:$A, ""), "")</f>
        <v/>
      </c>
      <c r="F300">
        <f>IF(A300&lt;&gt;"", XLOOKUP(A300, Extrato!$D:$D, Extrato!$B:$B, ""), "")</f>
        <v/>
      </c>
      <c r="G300">
        <f>IF(A300&lt;&gt;"", XLOOKUP(A300, Extrato!$D:$D, Extrato!$C:$C, ""), "")</f>
        <v/>
      </c>
      <c r="H300">
        <f>IF(A300="", "", IF(E300="", "Pendente", IF(C300=G300, "OK", "Valor divergente")))</f>
        <v/>
      </c>
    </row>
    <row r="301">
      <c r="A301">
        <f>IF(NF!A299&lt;&gt;"", NF!A299, "")</f>
        <v/>
      </c>
      <c r="B301">
        <f>IF(A301&lt;&gt;"", NF!B299, "")</f>
        <v/>
      </c>
      <c r="C301">
        <f>IF(A301&lt;&gt;"", NF!C299, "")</f>
        <v/>
      </c>
      <c r="D301">
        <f>IF(A301&lt;&gt;"", NF!D299, "")</f>
        <v/>
      </c>
      <c r="E301">
        <f>IF(A301&lt;&gt;"", XLOOKUP(A301, Extrato!$D:$D, Extrato!$A:$A, ""), "")</f>
        <v/>
      </c>
      <c r="F301">
        <f>IF(A301&lt;&gt;"", XLOOKUP(A301, Extrato!$D:$D, Extrato!$B:$B, ""), "")</f>
        <v/>
      </c>
      <c r="G301">
        <f>IF(A301&lt;&gt;"", XLOOKUP(A301, Extrato!$D:$D, Extrato!$C:$C, ""), "")</f>
        <v/>
      </c>
      <c r="H301">
        <f>IF(A301="", "", IF(E301="", "Pendente", IF(C301=G301, "OK", "Valor divergente")))</f>
        <v/>
      </c>
    </row>
    <row r="302">
      <c r="A302">
        <f>IF(NF!A300&lt;&gt;"", NF!A300, "")</f>
        <v/>
      </c>
      <c r="B302">
        <f>IF(A302&lt;&gt;"", NF!B300, "")</f>
        <v/>
      </c>
      <c r="C302">
        <f>IF(A302&lt;&gt;"", NF!C300, "")</f>
        <v/>
      </c>
      <c r="D302">
        <f>IF(A302&lt;&gt;"", NF!D300, "")</f>
        <v/>
      </c>
      <c r="E302">
        <f>IF(A302&lt;&gt;"", XLOOKUP(A302, Extrato!$D:$D, Extrato!$A:$A, ""), "")</f>
        <v/>
      </c>
      <c r="F302">
        <f>IF(A302&lt;&gt;"", XLOOKUP(A302, Extrato!$D:$D, Extrato!$B:$B, ""), "")</f>
        <v/>
      </c>
      <c r="G302">
        <f>IF(A302&lt;&gt;"", XLOOKUP(A302, Extrato!$D:$D, Extrato!$C:$C, ""), "")</f>
        <v/>
      </c>
      <c r="H302">
        <f>IF(A302="", "", IF(E302="", "Pendente", IF(C302=G302, "OK", "Valor divergente")))</f>
        <v/>
      </c>
    </row>
    <row r="303">
      <c r="A303">
        <f>IF(NF!A301&lt;&gt;"", NF!A301, "")</f>
        <v/>
      </c>
      <c r="B303">
        <f>IF(A303&lt;&gt;"", NF!B301, "")</f>
        <v/>
      </c>
      <c r="C303">
        <f>IF(A303&lt;&gt;"", NF!C301, "")</f>
        <v/>
      </c>
      <c r="D303">
        <f>IF(A303&lt;&gt;"", NF!D301, "")</f>
        <v/>
      </c>
      <c r="E303">
        <f>IF(A303&lt;&gt;"", XLOOKUP(A303, Extrato!$D:$D, Extrato!$A:$A, ""), "")</f>
        <v/>
      </c>
      <c r="F303">
        <f>IF(A303&lt;&gt;"", XLOOKUP(A303, Extrato!$D:$D, Extrato!$B:$B, ""), "")</f>
        <v/>
      </c>
      <c r="G303">
        <f>IF(A303&lt;&gt;"", XLOOKUP(A303, Extrato!$D:$D, Extrato!$C:$C, ""), "")</f>
        <v/>
      </c>
      <c r="H303">
        <f>IF(A303="", "", IF(E303="", "Pendente", IF(C303=G303, "OK", "Valor divergente")))</f>
        <v/>
      </c>
    </row>
    <row r="304">
      <c r="A304">
        <f>IF(NF!A302&lt;&gt;"", NF!A302, "")</f>
        <v/>
      </c>
      <c r="B304">
        <f>IF(A304&lt;&gt;"", NF!B302, "")</f>
        <v/>
      </c>
      <c r="C304">
        <f>IF(A304&lt;&gt;"", NF!C302, "")</f>
        <v/>
      </c>
      <c r="D304">
        <f>IF(A304&lt;&gt;"", NF!D302, "")</f>
        <v/>
      </c>
      <c r="E304">
        <f>IF(A304&lt;&gt;"", XLOOKUP(A304, Extrato!$D:$D, Extrato!$A:$A, ""), "")</f>
        <v/>
      </c>
      <c r="F304">
        <f>IF(A304&lt;&gt;"", XLOOKUP(A304, Extrato!$D:$D, Extrato!$B:$B, ""), "")</f>
        <v/>
      </c>
      <c r="G304">
        <f>IF(A304&lt;&gt;"", XLOOKUP(A304, Extrato!$D:$D, Extrato!$C:$C, ""), "")</f>
        <v/>
      </c>
      <c r="H304">
        <f>IF(A304="", "", IF(E304="", "Pendente", IF(C304=G304, "OK", "Valor divergente")))</f>
        <v/>
      </c>
    </row>
    <row r="305">
      <c r="A305">
        <f>IF(NF!A303&lt;&gt;"", NF!A303, "")</f>
        <v/>
      </c>
      <c r="B305">
        <f>IF(A305&lt;&gt;"", NF!B303, "")</f>
        <v/>
      </c>
      <c r="C305">
        <f>IF(A305&lt;&gt;"", NF!C303, "")</f>
        <v/>
      </c>
      <c r="D305">
        <f>IF(A305&lt;&gt;"", NF!D303, "")</f>
        <v/>
      </c>
      <c r="E305">
        <f>IF(A305&lt;&gt;"", XLOOKUP(A305, Extrato!$D:$D, Extrato!$A:$A, ""), "")</f>
        <v/>
      </c>
      <c r="F305">
        <f>IF(A305&lt;&gt;"", XLOOKUP(A305, Extrato!$D:$D, Extrato!$B:$B, ""), "")</f>
        <v/>
      </c>
      <c r="G305">
        <f>IF(A305&lt;&gt;"", XLOOKUP(A305, Extrato!$D:$D, Extrato!$C:$C, ""), "")</f>
        <v/>
      </c>
      <c r="H305">
        <f>IF(A305="", "", IF(E305="", "Pendente", IF(C305=G305, "OK", "Valor divergente")))</f>
        <v/>
      </c>
    </row>
    <row r="306">
      <c r="A306">
        <f>IF(NF!A304&lt;&gt;"", NF!A304, "")</f>
        <v/>
      </c>
      <c r="B306">
        <f>IF(A306&lt;&gt;"", NF!B304, "")</f>
        <v/>
      </c>
      <c r="C306">
        <f>IF(A306&lt;&gt;"", NF!C304, "")</f>
        <v/>
      </c>
      <c r="D306">
        <f>IF(A306&lt;&gt;"", NF!D304, "")</f>
        <v/>
      </c>
      <c r="E306">
        <f>IF(A306&lt;&gt;"", XLOOKUP(A306, Extrato!$D:$D, Extrato!$A:$A, ""), "")</f>
        <v/>
      </c>
      <c r="F306">
        <f>IF(A306&lt;&gt;"", XLOOKUP(A306, Extrato!$D:$D, Extrato!$B:$B, ""), "")</f>
        <v/>
      </c>
      <c r="G306">
        <f>IF(A306&lt;&gt;"", XLOOKUP(A306, Extrato!$D:$D, Extrato!$C:$C, ""), "")</f>
        <v/>
      </c>
      <c r="H306">
        <f>IF(A306="", "", IF(E306="", "Pendente", IF(C306=G306, "OK", "Valor divergente")))</f>
        <v/>
      </c>
    </row>
    <row r="307">
      <c r="A307">
        <f>IF(NF!A305&lt;&gt;"", NF!A305, "")</f>
        <v/>
      </c>
      <c r="B307">
        <f>IF(A307&lt;&gt;"", NF!B305, "")</f>
        <v/>
      </c>
      <c r="C307">
        <f>IF(A307&lt;&gt;"", NF!C305, "")</f>
        <v/>
      </c>
      <c r="D307">
        <f>IF(A307&lt;&gt;"", NF!D305, "")</f>
        <v/>
      </c>
      <c r="E307">
        <f>IF(A307&lt;&gt;"", XLOOKUP(A307, Extrato!$D:$D, Extrato!$A:$A, ""), "")</f>
        <v/>
      </c>
      <c r="F307">
        <f>IF(A307&lt;&gt;"", XLOOKUP(A307, Extrato!$D:$D, Extrato!$B:$B, ""), "")</f>
        <v/>
      </c>
      <c r="G307">
        <f>IF(A307&lt;&gt;"", XLOOKUP(A307, Extrato!$D:$D, Extrato!$C:$C, ""), "")</f>
        <v/>
      </c>
      <c r="H307">
        <f>IF(A307="", "", IF(E307="", "Pendente", IF(C307=G307, "OK", "Valor divergente")))</f>
        <v/>
      </c>
    </row>
    <row r="308">
      <c r="A308">
        <f>IF(NF!A306&lt;&gt;"", NF!A306, "")</f>
        <v/>
      </c>
      <c r="B308">
        <f>IF(A308&lt;&gt;"", NF!B306, "")</f>
        <v/>
      </c>
      <c r="C308">
        <f>IF(A308&lt;&gt;"", NF!C306, "")</f>
        <v/>
      </c>
      <c r="D308">
        <f>IF(A308&lt;&gt;"", NF!D306, "")</f>
        <v/>
      </c>
      <c r="E308">
        <f>IF(A308&lt;&gt;"", XLOOKUP(A308, Extrato!$D:$D, Extrato!$A:$A, ""), "")</f>
        <v/>
      </c>
      <c r="F308">
        <f>IF(A308&lt;&gt;"", XLOOKUP(A308, Extrato!$D:$D, Extrato!$B:$B, ""), "")</f>
        <v/>
      </c>
      <c r="G308">
        <f>IF(A308&lt;&gt;"", XLOOKUP(A308, Extrato!$D:$D, Extrato!$C:$C, ""), "")</f>
        <v/>
      </c>
      <c r="H308">
        <f>IF(A308="", "", IF(E308="", "Pendente", IF(C308=G308, "OK", "Valor divergente")))</f>
        <v/>
      </c>
    </row>
    <row r="309">
      <c r="A309">
        <f>IF(NF!A307&lt;&gt;"", NF!A307, "")</f>
        <v/>
      </c>
      <c r="B309">
        <f>IF(A309&lt;&gt;"", NF!B307, "")</f>
        <v/>
      </c>
      <c r="C309">
        <f>IF(A309&lt;&gt;"", NF!C307, "")</f>
        <v/>
      </c>
      <c r="D309">
        <f>IF(A309&lt;&gt;"", NF!D307, "")</f>
        <v/>
      </c>
      <c r="E309">
        <f>IF(A309&lt;&gt;"", XLOOKUP(A309, Extrato!$D:$D, Extrato!$A:$A, ""), "")</f>
        <v/>
      </c>
      <c r="F309">
        <f>IF(A309&lt;&gt;"", XLOOKUP(A309, Extrato!$D:$D, Extrato!$B:$B, ""), "")</f>
        <v/>
      </c>
      <c r="G309">
        <f>IF(A309&lt;&gt;"", XLOOKUP(A309, Extrato!$D:$D, Extrato!$C:$C, ""), "")</f>
        <v/>
      </c>
      <c r="H309">
        <f>IF(A309="", "", IF(E309="", "Pendente", IF(C309=G309, "OK", "Valor divergente")))</f>
        <v/>
      </c>
    </row>
    <row r="310">
      <c r="A310">
        <f>IF(NF!A308&lt;&gt;"", NF!A308, "")</f>
        <v/>
      </c>
      <c r="B310">
        <f>IF(A310&lt;&gt;"", NF!B308, "")</f>
        <v/>
      </c>
      <c r="C310">
        <f>IF(A310&lt;&gt;"", NF!C308, "")</f>
        <v/>
      </c>
      <c r="D310">
        <f>IF(A310&lt;&gt;"", NF!D308, "")</f>
        <v/>
      </c>
      <c r="E310">
        <f>IF(A310&lt;&gt;"", XLOOKUP(A310, Extrato!$D:$D, Extrato!$A:$A, ""), "")</f>
        <v/>
      </c>
      <c r="F310">
        <f>IF(A310&lt;&gt;"", XLOOKUP(A310, Extrato!$D:$D, Extrato!$B:$B, ""), "")</f>
        <v/>
      </c>
      <c r="G310">
        <f>IF(A310&lt;&gt;"", XLOOKUP(A310, Extrato!$D:$D, Extrato!$C:$C, ""), "")</f>
        <v/>
      </c>
      <c r="H310">
        <f>IF(A310="", "", IF(E310="", "Pendente", IF(C310=G310, "OK", "Valor divergente")))</f>
        <v/>
      </c>
    </row>
    <row r="311">
      <c r="A311">
        <f>IF(NF!A309&lt;&gt;"", NF!A309, "")</f>
        <v/>
      </c>
      <c r="B311">
        <f>IF(A311&lt;&gt;"", NF!B309, "")</f>
        <v/>
      </c>
      <c r="C311">
        <f>IF(A311&lt;&gt;"", NF!C309, "")</f>
        <v/>
      </c>
      <c r="D311">
        <f>IF(A311&lt;&gt;"", NF!D309, "")</f>
        <v/>
      </c>
      <c r="E311">
        <f>IF(A311&lt;&gt;"", XLOOKUP(A311, Extrato!$D:$D, Extrato!$A:$A, ""), "")</f>
        <v/>
      </c>
      <c r="F311">
        <f>IF(A311&lt;&gt;"", XLOOKUP(A311, Extrato!$D:$D, Extrato!$B:$B, ""), "")</f>
        <v/>
      </c>
      <c r="G311">
        <f>IF(A311&lt;&gt;"", XLOOKUP(A311, Extrato!$D:$D, Extrato!$C:$C, ""), "")</f>
        <v/>
      </c>
      <c r="H311">
        <f>IF(A311="", "", IF(E311="", "Pendente", IF(C311=G311, "OK", "Valor divergente")))</f>
        <v/>
      </c>
    </row>
    <row r="312">
      <c r="A312">
        <f>IF(NF!A310&lt;&gt;"", NF!A310, "")</f>
        <v/>
      </c>
      <c r="B312">
        <f>IF(A312&lt;&gt;"", NF!B310, "")</f>
        <v/>
      </c>
      <c r="C312">
        <f>IF(A312&lt;&gt;"", NF!C310, "")</f>
        <v/>
      </c>
      <c r="D312">
        <f>IF(A312&lt;&gt;"", NF!D310, "")</f>
        <v/>
      </c>
      <c r="E312">
        <f>IF(A312&lt;&gt;"", XLOOKUP(A312, Extrato!$D:$D, Extrato!$A:$A, ""), "")</f>
        <v/>
      </c>
      <c r="F312">
        <f>IF(A312&lt;&gt;"", XLOOKUP(A312, Extrato!$D:$D, Extrato!$B:$B, ""), "")</f>
        <v/>
      </c>
      <c r="G312">
        <f>IF(A312&lt;&gt;"", XLOOKUP(A312, Extrato!$D:$D, Extrato!$C:$C, ""), "")</f>
        <v/>
      </c>
      <c r="H312">
        <f>IF(A312="", "", IF(E312="", "Pendente", IF(C312=G312, "OK", "Valor divergente")))</f>
        <v/>
      </c>
    </row>
    <row r="313">
      <c r="A313">
        <f>IF(NF!A311&lt;&gt;"", NF!A311, "")</f>
        <v/>
      </c>
      <c r="B313">
        <f>IF(A313&lt;&gt;"", NF!B311, "")</f>
        <v/>
      </c>
      <c r="C313">
        <f>IF(A313&lt;&gt;"", NF!C311, "")</f>
        <v/>
      </c>
      <c r="D313">
        <f>IF(A313&lt;&gt;"", NF!D311, "")</f>
        <v/>
      </c>
      <c r="E313">
        <f>IF(A313&lt;&gt;"", XLOOKUP(A313, Extrato!$D:$D, Extrato!$A:$A, ""), "")</f>
        <v/>
      </c>
      <c r="F313">
        <f>IF(A313&lt;&gt;"", XLOOKUP(A313, Extrato!$D:$D, Extrato!$B:$B, ""), "")</f>
        <v/>
      </c>
      <c r="G313">
        <f>IF(A313&lt;&gt;"", XLOOKUP(A313, Extrato!$D:$D, Extrato!$C:$C, ""), "")</f>
        <v/>
      </c>
      <c r="H313">
        <f>IF(A313="", "", IF(E313="", "Pendente", IF(C313=G313, "OK", "Valor divergente")))</f>
        <v/>
      </c>
    </row>
    <row r="314">
      <c r="A314">
        <f>IF(NF!A312&lt;&gt;"", NF!A312, "")</f>
        <v/>
      </c>
      <c r="B314">
        <f>IF(A314&lt;&gt;"", NF!B312, "")</f>
        <v/>
      </c>
      <c r="C314">
        <f>IF(A314&lt;&gt;"", NF!C312, "")</f>
        <v/>
      </c>
      <c r="D314">
        <f>IF(A314&lt;&gt;"", NF!D312, "")</f>
        <v/>
      </c>
      <c r="E314">
        <f>IF(A314&lt;&gt;"", XLOOKUP(A314, Extrato!$D:$D, Extrato!$A:$A, ""), "")</f>
        <v/>
      </c>
      <c r="F314">
        <f>IF(A314&lt;&gt;"", XLOOKUP(A314, Extrato!$D:$D, Extrato!$B:$B, ""), "")</f>
        <v/>
      </c>
      <c r="G314">
        <f>IF(A314&lt;&gt;"", XLOOKUP(A314, Extrato!$D:$D, Extrato!$C:$C, ""), "")</f>
        <v/>
      </c>
      <c r="H314">
        <f>IF(A314="", "", IF(E314="", "Pendente", IF(C314=G314, "OK", "Valor divergente")))</f>
        <v/>
      </c>
    </row>
    <row r="315">
      <c r="A315">
        <f>IF(NF!A313&lt;&gt;"", NF!A313, "")</f>
        <v/>
      </c>
      <c r="B315">
        <f>IF(A315&lt;&gt;"", NF!B313, "")</f>
        <v/>
      </c>
      <c r="C315">
        <f>IF(A315&lt;&gt;"", NF!C313, "")</f>
        <v/>
      </c>
      <c r="D315">
        <f>IF(A315&lt;&gt;"", NF!D313, "")</f>
        <v/>
      </c>
      <c r="E315">
        <f>IF(A315&lt;&gt;"", XLOOKUP(A315, Extrato!$D:$D, Extrato!$A:$A, ""), "")</f>
        <v/>
      </c>
      <c r="F315">
        <f>IF(A315&lt;&gt;"", XLOOKUP(A315, Extrato!$D:$D, Extrato!$B:$B, ""), "")</f>
        <v/>
      </c>
      <c r="G315">
        <f>IF(A315&lt;&gt;"", XLOOKUP(A315, Extrato!$D:$D, Extrato!$C:$C, ""), "")</f>
        <v/>
      </c>
      <c r="H315">
        <f>IF(A315="", "", IF(E315="", "Pendente", IF(C315=G315, "OK", "Valor divergente")))</f>
        <v/>
      </c>
    </row>
    <row r="316">
      <c r="A316">
        <f>IF(NF!A314&lt;&gt;"", NF!A314, "")</f>
        <v/>
      </c>
      <c r="B316">
        <f>IF(A316&lt;&gt;"", NF!B314, "")</f>
        <v/>
      </c>
      <c r="C316">
        <f>IF(A316&lt;&gt;"", NF!C314, "")</f>
        <v/>
      </c>
      <c r="D316">
        <f>IF(A316&lt;&gt;"", NF!D314, "")</f>
        <v/>
      </c>
      <c r="E316">
        <f>IF(A316&lt;&gt;"", XLOOKUP(A316, Extrato!$D:$D, Extrato!$A:$A, ""), "")</f>
        <v/>
      </c>
      <c r="F316">
        <f>IF(A316&lt;&gt;"", XLOOKUP(A316, Extrato!$D:$D, Extrato!$B:$B, ""), "")</f>
        <v/>
      </c>
      <c r="G316">
        <f>IF(A316&lt;&gt;"", XLOOKUP(A316, Extrato!$D:$D, Extrato!$C:$C, ""), "")</f>
        <v/>
      </c>
      <c r="H316">
        <f>IF(A316="", "", IF(E316="", "Pendente", IF(C316=G316, "OK", "Valor divergente")))</f>
        <v/>
      </c>
    </row>
    <row r="317">
      <c r="A317">
        <f>IF(NF!A315&lt;&gt;"", NF!A315, "")</f>
        <v/>
      </c>
      <c r="B317">
        <f>IF(A317&lt;&gt;"", NF!B315, "")</f>
        <v/>
      </c>
      <c r="C317">
        <f>IF(A317&lt;&gt;"", NF!C315, "")</f>
        <v/>
      </c>
      <c r="D317">
        <f>IF(A317&lt;&gt;"", NF!D315, "")</f>
        <v/>
      </c>
      <c r="E317">
        <f>IF(A317&lt;&gt;"", XLOOKUP(A317, Extrato!$D:$D, Extrato!$A:$A, ""), "")</f>
        <v/>
      </c>
      <c r="F317">
        <f>IF(A317&lt;&gt;"", XLOOKUP(A317, Extrato!$D:$D, Extrato!$B:$B, ""), "")</f>
        <v/>
      </c>
      <c r="G317">
        <f>IF(A317&lt;&gt;"", XLOOKUP(A317, Extrato!$D:$D, Extrato!$C:$C, ""), "")</f>
        <v/>
      </c>
      <c r="H317">
        <f>IF(A317="", "", IF(E317="", "Pendente", IF(C317=G317, "OK", "Valor divergente")))</f>
        <v/>
      </c>
    </row>
    <row r="318">
      <c r="A318">
        <f>IF(NF!A316&lt;&gt;"", NF!A316, "")</f>
        <v/>
      </c>
      <c r="B318">
        <f>IF(A318&lt;&gt;"", NF!B316, "")</f>
        <v/>
      </c>
      <c r="C318">
        <f>IF(A318&lt;&gt;"", NF!C316, "")</f>
        <v/>
      </c>
      <c r="D318">
        <f>IF(A318&lt;&gt;"", NF!D316, "")</f>
        <v/>
      </c>
      <c r="E318">
        <f>IF(A318&lt;&gt;"", XLOOKUP(A318, Extrato!$D:$D, Extrato!$A:$A, ""), "")</f>
        <v/>
      </c>
      <c r="F318">
        <f>IF(A318&lt;&gt;"", XLOOKUP(A318, Extrato!$D:$D, Extrato!$B:$B, ""), "")</f>
        <v/>
      </c>
      <c r="G318">
        <f>IF(A318&lt;&gt;"", XLOOKUP(A318, Extrato!$D:$D, Extrato!$C:$C, ""), "")</f>
        <v/>
      </c>
      <c r="H318">
        <f>IF(A318="", "", IF(E318="", "Pendente", IF(C318=G318, "OK", "Valor divergente")))</f>
        <v/>
      </c>
    </row>
    <row r="319">
      <c r="A319">
        <f>IF(NF!A317&lt;&gt;"", NF!A317, "")</f>
        <v/>
      </c>
      <c r="B319">
        <f>IF(A319&lt;&gt;"", NF!B317, "")</f>
        <v/>
      </c>
      <c r="C319">
        <f>IF(A319&lt;&gt;"", NF!C317, "")</f>
        <v/>
      </c>
      <c r="D319">
        <f>IF(A319&lt;&gt;"", NF!D317, "")</f>
        <v/>
      </c>
      <c r="E319">
        <f>IF(A319&lt;&gt;"", XLOOKUP(A319, Extrato!$D:$D, Extrato!$A:$A, ""), "")</f>
        <v/>
      </c>
      <c r="F319">
        <f>IF(A319&lt;&gt;"", XLOOKUP(A319, Extrato!$D:$D, Extrato!$B:$B, ""), "")</f>
        <v/>
      </c>
      <c r="G319">
        <f>IF(A319&lt;&gt;"", XLOOKUP(A319, Extrato!$D:$D, Extrato!$C:$C, ""), "")</f>
        <v/>
      </c>
      <c r="H319">
        <f>IF(A319="", "", IF(E319="", "Pendente", IF(C319=G319, "OK", "Valor divergente")))</f>
        <v/>
      </c>
    </row>
    <row r="320">
      <c r="A320">
        <f>IF(NF!A318&lt;&gt;"", NF!A318, "")</f>
        <v/>
      </c>
      <c r="B320">
        <f>IF(A320&lt;&gt;"", NF!B318, "")</f>
        <v/>
      </c>
      <c r="C320">
        <f>IF(A320&lt;&gt;"", NF!C318, "")</f>
        <v/>
      </c>
      <c r="D320">
        <f>IF(A320&lt;&gt;"", NF!D318, "")</f>
        <v/>
      </c>
      <c r="E320">
        <f>IF(A320&lt;&gt;"", XLOOKUP(A320, Extrato!$D:$D, Extrato!$A:$A, ""), "")</f>
        <v/>
      </c>
      <c r="F320">
        <f>IF(A320&lt;&gt;"", XLOOKUP(A320, Extrato!$D:$D, Extrato!$B:$B, ""), "")</f>
        <v/>
      </c>
      <c r="G320">
        <f>IF(A320&lt;&gt;"", XLOOKUP(A320, Extrato!$D:$D, Extrato!$C:$C, ""), "")</f>
        <v/>
      </c>
      <c r="H320">
        <f>IF(A320="", "", IF(E320="", "Pendente", IF(C320=G320, "OK", "Valor divergente")))</f>
        <v/>
      </c>
    </row>
    <row r="321">
      <c r="A321">
        <f>IF(NF!A319&lt;&gt;"", NF!A319, "")</f>
        <v/>
      </c>
      <c r="B321">
        <f>IF(A321&lt;&gt;"", NF!B319, "")</f>
        <v/>
      </c>
      <c r="C321">
        <f>IF(A321&lt;&gt;"", NF!C319, "")</f>
        <v/>
      </c>
      <c r="D321">
        <f>IF(A321&lt;&gt;"", NF!D319, "")</f>
        <v/>
      </c>
      <c r="E321">
        <f>IF(A321&lt;&gt;"", XLOOKUP(A321, Extrato!$D:$D, Extrato!$A:$A, ""), "")</f>
        <v/>
      </c>
      <c r="F321">
        <f>IF(A321&lt;&gt;"", XLOOKUP(A321, Extrato!$D:$D, Extrato!$B:$B, ""), "")</f>
        <v/>
      </c>
      <c r="G321">
        <f>IF(A321&lt;&gt;"", XLOOKUP(A321, Extrato!$D:$D, Extrato!$C:$C, ""), "")</f>
        <v/>
      </c>
      <c r="H321">
        <f>IF(A321="", "", IF(E321="", "Pendente", IF(C321=G321, "OK", "Valor divergente")))</f>
        <v/>
      </c>
    </row>
    <row r="322">
      <c r="A322">
        <f>IF(NF!A320&lt;&gt;"", NF!A320, "")</f>
        <v/>
      </c>
      <c r="B322">
        <f>IF(A322&lt;&gt;"", NF!B320, "")</f>
        <v/>
      </c>
      <c r="C322">
        <f>IF(A322&lt;&gt;"", NF!C320, "")</f>
        <v/>
      </c>
      <c r="D322">
        <f>IF(A322&lt;&gt;"", NF!D320, "")</f>
        <v/>
      </c>
      <c r="E322">
        <f>IF(A322&lt;&gt;"", XLOOKUP(A322, Extrato!$D:$D, Extrato!$A:$A, ""), "")</f>
        <v/>
      </c>
      <c r="F322">
        <f>IF(A322&lt;&gt;"", XLOOKUP(A322, Extrato!$D:$D, Extrato!$B:$B, ""), "")</f>
        <v/>
      </c>
      <c r="G322">
        <f>IF(A322&lt;&gt;"", XLOOKUP(A322, Extrato!$D:$D, Extrato!$C:$C, ""), "")</f>
        <v/>
      </c>
      <c r="H322">
        <f>IF(A322="", "", IF(E322="", "Pendente", IF(C322=G322, "OK", "Valor divergente")))</f>
        <v/>
      </c>
    </row>
    <row r="323">
      <c r="A323">
        <f>IF(NF!A321&lt;&gt;"", NF!A321, "")</f>
        <v/>
      </c>
      <c r="B323">
        <f>IF(A323&lt;&gt;"", NF!B321, "")</f>
        <v/>
      </c>
      <c r="C323">
        <f>IF(A323&lt;&gt;"", NF!C321, "")</f>
        <v/>
      </c>
      <c r="D323">
        <f>IF(A323&lt;&gt;"", NF!D321, "")</f>
        <v/>
      </c>
      <c r="E323">
        <f>IF(A323&lt;&gt;"", XLOOKUP(A323, Extrato!$D:$D, Extrato!$A:$A, ""), "")</f>
        <v/>
      </c>
      <c r="F323">
        <f>IF(A323&lt;&gt;"", XLOOKUP(A323, Extrato!$D:$D, Extrato!$B:$B, ""), "")</f>
        <v/>
      </c>
      <c r="G323">
        <f>IF(A323&lt;&gt;"", XLOOKUP(A323, Extrato!$D:$D, Extrato!$C:$C, ""), "")</f>
        <v/>
      </c>
      <c r="H323">
        <f>IF(A323="", "", IF(E323="", "Pendente", IF(C323=G323, "OK", "Valor divergente")))</f>
        <v/>
      </c>
    </row>
    <row r="324">
      <c r="A324">
        <f>IF(NF!A322&lt;&gt;"", NF!A322, "")</f>
        <v/>
      </c>
      <c r="B324">
        <f>IF(A324&lt;&gt;"", NF!B322, "")</f>
        <v/>
      </c>
      <c r="C324">
        <f>IF(A324&lt;&gt;"", NF!C322, "")</f>
        <v/>
      </c>
      <c r="D324">
        <f>IF(A324&lt;&gt;"", NF!D322, "")</f>
        <v/>
      </c>
      <c r="E324">
        <f>IF(A324&lt;&gt;"", XLOOKUP(A324, Extrato!$D:$D, Extrato!$A:$A, ""), "")</f>
        <v/>
      </c>
      <c r="F324">
        <f>IF(A324&lt;&gt;"", XLOOKUP(A324, Extrato!$D:$D, Extrato!$B:$B, ""), "")</f>
        <v/>
      </c>
      <c r="G324">
        <f>IF(A324&lt;&gt;"", XLOOKUP(A324, Extrato!$D:$D, Extrato!$C:$C, ""), "")</f>
        <v/>
      </c>
      <c r="H324">
        <f>IF(A324="", "", IF(E324="", "Pendente", IF(C324=G324, "OK", "Valor divergente")))</f>
        <v/>
      </c>
    </row>
    <row r="325">
      <c r="A325">
        <f>IF(NF!A323&lt;&gt;"", NF!A323, "")</f>
        <v/>
      </c>
      <c r="B325">
        <f>IF(A325&lt;&gt;"", NF!B323, "")</f>
        <v/>
      </c>
      <c r="C325">
        <f>IF(A325&lt;&gt;"", NF!C323, "")</f>
        <v/>
      </c>
      <c r="D325">
        <f>IF(A325&lt;&gt;"", NF!D323, "")</f>
        <v/>
      </c>
      <c r="E325">
        <f>IF(A325&lt;&gt;"", XLOOKUP(A325, Extrato!$D:$D, Extrato!$A:$A, ""), "")</f>
        <v/>
      </c>
      <c r="F325">
        <f>IF(A325&lt;&gt;"", XLOOKUP(A325, Extrato!$D:$D, Extrato!$B:$B, ""), "")</f>
        <v/>
      </c>
      <c r="G325">
        <f>IF(A325&lt;&gt;"", XLOOKUP(A325, Extrato!$D:$D, Extrato!$C:$C, ""), "")</f>
        <v/>
      </c>
      <c r="H325">
        <f>IF(A325="", "", IF(E325="", "Pendente", IF(C325=G325, "OK", "Valor divergente")))</f>
        <v/>
      </c>
    </row>
    <row r="326">
      <c r="A326">
        <f>IF(NF!A324&lt;&gt;"", NF!A324, "")</f>
        <v/>
      </c>
      <c r="B326">
        <f>IF(A326&lt;&gt;"", NF!B324, "")</f>
        <v/>
      </c>
      <c r="C326">
        <f>IF(A326&lt;&gt;"", NF!C324, "")</f>
        <v/>
      </c>
      <c r="D326">
        <f>IF(A326&lt;&gt;"", NF!D324, "")</f>
        <v/>
      </c>
      <c r="E326">
        <f>IF(A326&lt;&gt;"", XLOOKUP(A326, Extrato!$D:$D, Extrato!$A:$A, ""), "")</f>
        <v/>
      </c>
      <c r="F326">
        <f>IF(A326&lt;&gt;"", XLOOKUP(A326, Extrato!$D:$D, Extrato!$B:$B, ""), "")</f>
        <v/>
      </c>
      <c r="G326">
        <f>IF(A326&lt;&gt;"", XLOOKUP(A326, Extrato!$D:$D, Extrato!$C:$C, ""), "")</f>
        <v/>
      </c>
      <c r="H326">
        <f>IF(A326="", "", IF(E326="", "Pendente", IF(C326=G326, "OK", "Valor divergente")))</f>
        <v/>
      </c>
    </row>
    <row r="327">
      <c r="A327">
        <f>IF(NF!A325&lt;&gt;"", NF!A325, "")</f>
        <v/>
      </c>
      <c r="B327">
        <f>IF(A327&lt;&gt;"", NF!B325, "")</f>
        <v/>
      </c>
      <c r="C327">
        <f>IF(A327&lt;&gt;"", NF!C325, "")</f>
        <v/>
      </c>
      <c r="D327">
        <f>IF(A327&lt;&gt;"", NF!D325, "")</f>
        <v/>
      </c>
      <c r="E327">
        <f>IF(A327&lt;&gt;"", XLOOKUP(A327, Extrato!$D:$D, Extrato!$A:$A, ""), "")</f>
        <v/>
      </c>
      <c r="F327">
        <f>IF(A327&lt;&gt;"", XLOOKUP(A327, Extrato!$D:$D, Extrato!$B:$B, ""), "")</f>
        <v/>
      </c>
      <c r="G327">
        <f>IF(A327&lt;&gt;"", XLOOKUP(A327, Extrato!$D:$D, Extrato!$C:$C, ""), "")</f>
        <v/>
      </c>
      <c r="H327">
        <f>IF(A327="", "", IF(E327="", "Pendente", IF(C327=G327, "OK", "Valor divergente")))</f>
        <v/>
      </c>
    </row>
    <row r="328">
      <c r="A328">
        <f>IF(NF!A326&lt;&gt;"", NF!A326, "")</f>
        <v/>
      </c>
      <c r="B328">
        <f>IF(A328&lt;&gt;"", NF!B326, "")</f>
        <v/>
      </c>
      <c r="C328">
        <f>IF(A328&lt;&gt;"", NF!C326, "")</f>
        <v/>
      </c>
      <c r="D328">
        <f>IF(A328&lt;&gt;"", NF!D326, "")</f>
        <v/>
      </c>
      <c r="E328">
        <f>IF(A328&lt;&gt;"", XLOOKUP(A328, Extrato!$D:$D, Extrato!$A:$A, ""), "")</f>
        <v/>
      </c>
      <c r="F328">
        <f>IF(A328&lt;&gt;"", XLOOKUP(A328, Extrato!$D:$D, Extrato!$B:$B, ""), "")</f>
        <v/>
      </c>
      <c r="G328">
        <f>IF(A328&lt;&gt;"", XLOOKUP(A328, Extrato!$D:$D, Extrato!$C:$C, ""), "")</f>
        <v/>
      </c>
      <c r="H328">
        <f>IF(A328="", "", IF(E328="", "Pendente", IF(C328=G328, "OK", "Valor divergente")))</f>
        <v/>
      </c>
    </row>
    <row r="329">
      <c r="A329">
        <f>IF(NF!A327&lt;&gt;"", NF!A327, "")</f>
        <v/>
      </c>
      <c r="B329">
        <f>IF(A329&lt;&gt;"", NF!B327, "")</f>
        <v/>
      </c>
      <c r="C329">
        <f>IF(A329&lt;&gt;"", NF!C327, "")</f>
        <v/>
      </c>
      <c r="D329">
        <f>IF(A329&lt;&gt;"", NF!D327, "")</f>
        <v/>
      </c>
      <c r="E329">
        <f>IF(A329&lt;&gt;"", XLOOKUP(A329, Extrato!$D:$D, Extrato!$A:$A, ""), "")</f>
        <v/>
      </c>
      <c r="F329">
        <f>IF(A329&lt;&gt;"", XLOOKUP(A329, Extrato!$D:$D, Extrato!$B:$B, ""), "")</f>
        <v/>
      </c>
      <c r="G329">
        <f>IF(A329&lt;&gt;"", XLOOKUP(A329, Extrato!$D:$D, Extrato!$C:$C, ""), "")</f>
        <v/>
      </c>
      <c r="H329">
        <f>IF(A329="", "", IF(E329="", "Pendente", IF(C329=G329, "OK", "Valor divergente")))</f>
        <v/>
      </c>
    </row>
    <row r="330">
      <c r="A330">
        <f>IF(NF!A328&lt;&gt;"", NF!A328, "")</f>
        <v/>
      </c>
      <c r="B330">
        <f>IF(A330&lt;&gt;"", NF!B328, "")</f>
        <v/>
      </c>
      <c r="C330">
        <f>IF(A330&lt;&gt;"", NF!C328, "")</f>
        <v/>
      </c>
      <c r="D330">
        <f>IF(A330&lt;&gt;"", NF!D328, "")</f>
        <v/>
      </c>
      <c r="E330">
        <f>IF(A330&lt;&gt;"", XLOOKUP(A330, Extrato!$D:$D, Extrato!$A:$A, ""), "")</f>
        <v/>
      </c>
      <c r="F330">
        <f>IF(A330&lt;&gt;"", XLOOKUP(A330, Extrato!$D:$D, Extrato!$B:$B, ""), "")</f>
        <v/>
      </c>
      <c r="G330">
        <f>IF(A330&lt;&gt;"", XLOOKUP(A330, Extrato!$D:$D, Extrato!$C:$C, ""), "")</f>
        <v/>
      </c>
      <c r="H330">
        <f>IF(A330="", "", IF(E330="", "Pendente", IF(C330=G330, "OK", "Valor divergente")))</f>
        <v/>
      </c>
    </row>
    <row r="331">
      <c r="A331">
        <f>IF(NF!A329&lt;&gt;"", NF!A329, "")</f>
        <v/>
      </c>
      <c r="B331">
        <f>IF(A331&lt;&gt;"", NF!B329, "")</f>
        <v/>
      </c>
      <c r="C331">
        <f>IF(A331&lt;&gt;"", NF!C329, "")</f>
        <v/>
      </c>
      <c r="D331">
        <f>IF(A331&lt;&gt;"", NF!D329, "")</f>
        <v/>
      </c>
      <c r="E331">
        <f>IF(A331&lt;&gt;"", XLOOKUP(A331, Extrato!$D:$D, Extrato!$A:$A, ""), "")</f>
        <v/>
      </c>
      <c r="F331">
        <f>IF(A331&lt;&gt;"", XLOOKUP(A331, Extrato!$D:$D, Extrato!$B:$B, ""), "")</f>
        <v/>
      </c>
      <c r="G331">
        <f>IF(A331&lt;&gt;"", XLOOKUP(A331, Extrato!$D:$D, Extrato!$C:$C, ""), "")</f>
        <v/>
      </c>
      <c r="H331">
        <f>IF(A331="", "", IF(E331="", "Pendente", IF(C331=G331, "OK", "Valor divergente")))</f>
        <v/>
      </c>
    </row>
    <row r="332">
      <c r="A332">
        <f>IF(NF!A330&lt;&gt;"", NF!A330, "")</f>
        <v/>
      </c>
      <c r="B332">
        <f>IF(A332&lt;&gt;"", NF!B330, "")</f>
        <v/>
      </c>
      <c r="C332">
        <f>IF(A332&lt;&gt;"", NF!C330, "")</f>
        <v/>
      </c>
      <c r="D332">
        <f>IF(A332&lt;&gt;"", NF!D330, "")</f>
        <v/>
      </c>
      <c r="E332">
        <f>IF(A332&lt;&gt;"", XLOOKUP(A332, Extrato!$D:$D, Extrato!$A:$A, ""), "")</f>
        <v/>
      </c>
      <c r="F332">
        <f>IF(A332&lt;&gt;"", XLOOKUP(A332, Extrato!$D:$D, Extrato!$B:$B, ""), "")</f>
        <v/>
      </c>
      <c r="G332">
        <f>IF(A332&lt;&gt;"", XLOOKUP(A332, Extrato!$D:$D, Extrato!$C:$C, ""), "")</f>
        <v/>
      </c>
      <c r="H332">
        <f>IF(A332="", "", IF(E332="", "Pendente", IF(C332=G332, "OK", "Valor divergente")))</f>
        <v/>
      </c>
    </row>
    <row r="333">
      <c r="A333">
        <f>IF(NF!A331&lt;&gt;"", NF!A331, "")</f>
        <v/>
      </c>
      <c r="B333">
        <f>IF(A333&lt;&gt;"", NF!B331, "")</f>
        <v/>
      </c>
      <c r="C333">
        <f>IF(A333&lt;&gt;"", NF!C331, "")</f>
        <v/>
      </c>
      <c r="D333">
        <f>IF(A333&lt;&gt;"", NF!D331, "")</f>
        <v/>
      </c>
      <c r="E333">
        <f>IF(A333&lt;&gt;"", XLOOKUP(A333, Extrato!$D:$D, Extrato!$A:$A, ""), "")</f>
        <v/>
      </c>
      <c r="F333">
        <f>IF(A333&lt;&gt;"", XLOOKUP(A333, Extrato!$D:$D, Extrato!$B:$B, ""), "")</f>
        <v/>
      </c>
      <c r="G333">
        <f>IF(A333&lt;&gt;"", XLOOKUP(A333, Extrato!$D:$D, Extrato!$C:$C, ""), "")</f>
        <v/>
      </c>
      <c r="H333">
        <f>IF(A333="", "", IF(E333="", "Pendente", IF(C333=G333, "OK", "Valor divergente")))</f>
        <v/>
      </c>
    </row>
    <row r="334">
      <c r="A334">
        <f>IF(NF!A332&lt;&gt;"", NF!A332, "")</f>
        <v/>
      </c>
      <c r="B334">
        <f>IF(A334&lt;&gt;"", NF!B332, "")</f>
        <v/>
      </c>
      <c r="C334">
        <f>IF(A334&lt;&gt;"", NF!C332, "")</f>
        <v/>
      </c>
      <c r="D334">
        <f>IF(A334&lt;&gt;"", NF!D332, "")</f>
        <v/>
      </c>
      <c r="E334">
        <f>IF(A334&lt;&gt;"", XLOOKUP(A334, Extrato!$D:$D, Extrato!$A:$A, ""), "")</f>
        <v/>
      </c>
      <c r="F334">
        <f>IF(A334&lt;&gt;"", XLOOKUP(A334, Extrato!$D:$D, Extrato!$B:$B, ""), "")</f>
        <v/>
      </c>
      <c r="G334">
        <f>IF(A334&lt;&gt;"", XLOOKUP(A334, Extrato!$D:$D, Extrato!$C:$C, ""), "")</f>
        <v/>
      </c>
      <c r="H334">
        <f>IF(A334="", "", IF(E334="", "Pendente", IF(C334=G334, "OK", "Valor divergente")))</f>
        <v/>
      </c>
    </row>
    <row r="335">
      <c r="A335">
        <f>IF(NF!A333&lt;&gt;"", NF!A333, "")</f>
        <v/>
      </c>
      <c r="B335">
        <f>IF(A335&lt;&gt;"", NF!B333, "")</f>
        <v/>
      </c>
      <c r="C335">
        <f>IF(A335&lt;&gt;"", NF!C333, "")</f>
        <v/>
      </c>
      <c r="D335">
        <f>IF(A335&lt;&gt;"", NF!D333, "")</f>
        <v/>
      </c>
      <c r="E335">
        <f>IF(A335&lt;&gt;"", XLOOKUP(A335, Extrato!$D:$D, Extrato!$A:$A, ""), "")</f>
        <v/>
      </c>
      <c r="F335">
        <f>IF(A335&lt;&gt;"", XLOOKUP(A335, Extrato!$D:$D, Extrato!$B:$B, ""), "")</f>
        <v/>
      </c>
      <c r="G335">
        <f>IF(A335&lt;&gt;"", XLOOKUP(A335, Extrato!$D:$D, Extrato!$C:$C, ""), "")</f>
        <v/>
      </c>
      <c r="H335">
        <f>IF(A335="", "", IF(E335="", "Pendente", IF(C335=G335, "OK", "Valor divergente")))</f>
        <v/>
      </c>
    </row>
    <row r="336">
      <c r="A336">
        <f>IF(NF!A334&lt;&gt;"", NF!A334, "")</f>
        <v/>
      </c>
      <c r="B336">
        <f>IF(A336&lt;&gt;"", NF!B334, "")</f>
        <v/>
      </c>
      <c r="C336">
        <f>IF(A336&lt;&gt;"", NF!C334, "")</f>
        <v/>
      </c>
      <c r="D336">
        <f>IF(A336&lt;&gt;"", NF!D334, "")</f>
        <v/>
      </c>
      <c r="E336">
        <f>IF(A336&lt;&gt;"", XLOOKUP(A336, Extrato!$D:$D, Extrato!$A:$A, ""), "")</f>
        <v/>
      </c>
      <c r="F336">
        <f>IF(A336&lt;&gt;"", XLOOKUP(A336, Extrato!$D:$D, Extrato!$B:$B, ""), "")</f>
        <v/>
      </c>
      <c r="G336">
        <f>IF(A336&lt;&gt;"", XLOOKUP(A336, Extrato!$D:$D, Extrato!$C:$C, ""), "")</f>
        <v/>
      </c>
      <c r="H336">
        <f>IF(A336="", "", IF(E336="", "Pendente", IF(C336=G336, "OK", "Valor divergente")))</f>
        <v/>
      </c>
    </row>
    <row r="337">
      <c r="A337">
        <f>IF(NF!A335&lt;&gt;"", NF!A335, "")</f>
        <v/>
      </c>
      <c r="B337">
        <f>IF(A337&lt;&gt;"", NF!B335, "")</f>
        <v/>
      </c>
      <c r="C337">
        <f>IF(A337&lt;&gt;"", NF!C335, "")</f>
        <v/>
      </c>
      <c r="D337">
        <f>IF(A337&lt;&gt;"", NF!D335, "")</f>
        <v/>
      </c>
      <c r="E337">
        <f>IF(A337&lt;&gt;"", XLOOKUP(A337, Extrato!$D:$D, Extrato!$A:$A, ""), "")</f>
        <v/>
      </c>
      <c r="F337">
        <f>IF(A337&lt;&gt;"", XLOOKUP(A337, Extrato!$D:$D, Extrato!$B:$B, ""), "")</f>
        <v/>
      </c>
      <c r="G337">
        <f>IF(A337&lt;&gt;"", XLOOKUP(A337, Extrato!$D:$D, Extrato!$C:$C, ""), "")</f>
        <v/>
      </c>
      <c r="H337">
        <f>IF(A337="", "", IF(E337="", "Pendente", IF(C337=G337, "OK", "Valor divergente")))</f>
        <v/>
      </c>
    </row>
    <row r="338">
      <c r="A338">
        <f>IF(NF!A336&lt;&gt;"", NF!A336, "")</f>
        <v/>
      </c>
      <c r="B338">
        <f>IF(A338&lt;&gt;"", NF!B336, "")</f>
        <v/>
      </c>
      <c r="C338">
        <f>IF(A338&lt;&gt;"", NF!C336, "")</f>
        <v/>
      </c>
      <c r="D338">
        <f>IF(A338&lt;&gt;"", NF!D336, "")</f>
        <v/>
      </c>
      <c r="E338">
        <f>IF(A338&lt;&gt;"", XLOOKUP(A338, Extrato!$D:$D, Extrato!$A:$A, ""), "")</f>
        <v/>
      </c>
      <c r="F338">
        <f>IF(A338&lt;&gt;"", XLOOKUP(A338, Extrato!$D:$D, Extrato!$B:$B, ""), "")</f>
        <v/>
      </c>
      <c r="G338">
        <f>IF(A338&lt;&gt;"", XLOOKUP(A338, Extrato!$D:$D, Extrato!$C:$C, ""), "")</f>
        <v/>
      </c>
      <c r="H338">
        <f>IF(A338="", "", IF(E338="", "Pendente", IF(C338=G338, "OK", "Valor divergente")))</f>
        <v/>
      </c>
    </row>
    <row r="339">
      <c r="A339">
        <f>IF(NF!A337&lt;&gt;"", NF!A337, "")</f>
        <v/>
      </c>
      <c r="B339">
        <f>IF(A339&lt;&gt;"", NF!B337, "")</f>
        <v/>
      </c>
      <c r="C339">
        <f>IF(A339&lt;&gt;"", NF!C337, "")</f>
        <v/>
      </c>
      <c r="D339">
        <f>IF(A339&lt;&gt;"", NF!D337, "")</f>
        <v/>
      </c>
      <c r="E339">
        <f>IF(A339&lt;&gt;"", XLOOKUP(A339, Extrato!$D:$D, Extrato!$A:$A, ""), "")</f>
        <v/>
      </c>
      <c r="F339">
        <f>IF(A339&lt;&gt;"", XLOOKUP(A339, Extrato!$D:$D, Extrato!$B:$B, ""), "")</f>
        <v/>
      </c>
      <c r="G339">
        <f>IF(A339&lt;&gt;"", XLOOKUP(A339, Extrato!$D:$D, Extrato!$C:$C, ""), "")</f>
        <v/>
      </c>
      <c r="H339">
        <f>IF(A339="", "", IF(E339="", "Pendente", IF(C339=G339, "OK", "Valor divergente")))</f>
        <v/>
      </c>
    </row>
    <row r="340">
      <c r="A340">
        <f>IF(NF!A338&lt;&gt;"", NF!A338, "")</f>
        <v/>
      </c>
      <c r="B340">
        <f>IF(A340&lt;&gt;"", NF!B338, "")</f>
        <v/>
      </c>
      <c r="C340">
        <f>IF(A340&lt;&gt;"", NF!C338, "")</f>
        <v/>
      </c>
      <c r="D340">
        <f>IF(A340&lt;&gt;"", NF!D338, "")</f>
        <v/>
      </c>
      <c r="E340">
        <f>IF(A340&lt;&gt;"", XLOOKUP(A340, Extrato!$D:$D, Extrato!$A:$A, ""), "")</f>
        <v/>
      </c>
      <c r="F340">
        <f>IF(A340&lt;&gt;"", XLOOKUP(A340, Extrato!$D:$D, Extrato!$B:$B, ""), "")</f>
        <v/>
      </c>
      <c r="G340">
        <f>IF(A340&lt;&gt;"", XLOOKUP(A340, Extrato!$D:$D, Extrato!$C:$C, ""), "")</f>
        <v/>
      </c>
      <c r="H340">
        <f>IF(A340="", "", IF(E340="", "Pendente", IF(C340=G340, "OK", "Valor divergente")))</f>
        <v/>
      </c>
    </row>
    <row r="341">
      <c r="A341">
        <f>IF(NF!A339&lt;&gt;"", NF!A339, "")</f>
        <v/>
      </c>
      <c r="B341">
        <f>IF(A341&lt;&gt;"", NF!B339, "")</f>
        <v/>
      </c>
      <c r="C341">
        <f>IF(A341&lt;&gt;"", NF!C339, "")</f>
        <v/>
      </c>
      <c r="D341">
        <f>IF(A341&lt;&gt;"", NF!D339, "")</f>
        <v/>
      </c>
      <c r="E341">
        <f>IF(A341&lt;&gt;"", XLOOKUP(A341, Extrato!$D:$D, Extrato!$A:$A, ""), "")</f>
        <v/>
      </c>
      <c r="F341">
        <f>IF(A341&lt;&gt;"", XLOOKUP(A341, Extrato!$D:$D, Extrato!$B:$B, ""), "")</f>
        <v/>
      </c>
      <c r="G341">
        <f>IF(A341&lt;&gt;"", XLOOKUP(A341, Extrato!$D:$D, Extrato!$C:$C, ""), "")</f>
        <v/>
      </c>
      <c r="H341">
        <f>IF(A341="", "", IF(E341="", "Pendente", IF(C341=G341, "OK", "Valor divergente")))</f>
        <v/>
      </c>
    </row>
    <row r="342">
      <c r="A342">
        <f>IF(NF!A340&lt;&gt;"", NF!A340, "")</f>
        <v/>
      </c>
      <c r="B342">
        <f>IF(A342&lt;&gt;"", NF!B340, "")</f>
        <v/>
      </c>
      <c r="C342">
        <f>IF(A342&lt;&gt;"", NF!C340, "")</f>
        <v/>
      </c>
      <c r="D342">
        <f>IF(A342&lt;&gt;"", NF!D340, "")</f>
        <v/>
      </c>
      <c r="E342">
        <f>IF(A342&lt;&gt;"", XLOOKUP(A342, Extrato!$D:$D, Extrato!$A:$A, ""), "")</f>
        <v/>
      </c>
      <c r="F342">
        <f>IF(A342&lt;&gt;"", XLOOKUP(A342, Extrato!$D:$D, Extrato!$B:$B, ""), "")</f>
        <v/>
      </c>
      <c r="G342">
        <f>IF(A342&lt;&gt;"", XLOOKUP(A342, Extrato!$D:$D, Extrato!$C:$C, ""), "")</f>
        <v/>
      </c>
      <c r="H342">
        <f>IF(A342="", "", IF(E342="", "Pendente", IF(C342=G342, "OK", "Valor divergente")))</f>
        <v/>
      </c>
    </row>
    <row r="343">
      <c r="A343">
        <f>IF(NF!A341&lt;&gt;"", NF!A341, "")</f>
        <v/>
      </c>
      <c r="B343">
        <f>IF(A343&lt;&gt;"", NF!B341, "")</f>
        <v/>
      </c>
      <c r="C343">
        <f>IF(A343&lt;&gt;"", NF!C341, "")</f>
        <v/>
      </c>
      <c r="D343">
        <f>IF(A343&lt;&gt;"", NF!D341, "")</f>
        <v/>
      </c>
      <c r="E343">
        <f>IF(A343&lt;&gt;"", XLOOKUP(A343, Extrato!$D:$D, Extrato!$A:$A, ""), "")</f>
        <v/>
      </c>
      <c r="F343">
        <f>IF(A343&lt;&gt;"", XLOOKUP(A343, Extrato!$D:$D, Extrato!$B:$B, ""), "")</f>
        <v/>
      </c>
      <c r="G343">
        <f>IF(A343&lt;&gt;"", XLOOKUP(A343, Extrato!$D:$D, Extrato!$C:$C, ""), "")</f>
        <v/>
      </c>
      <c r="H343">
        <f>IF(A343="", "", IF(E343="", "Pendente", IF(C343=G343, "OK", "Valor divergente")))</f>
        <v/>
      </c>
    </row>
    <row r="344">
      <c r="A344">
        <f>IF(NF!A342&lt;&gt;"", NF!A342, "")</f>
        <v/>
      </c>
      <c r="B344">
        <f>IF(A344&lt;&gt;"", NF!B342, "")</f>
        <v/>
      </c>
      <c r="C344">
        <f>IF(A344&lt;&gt;"", NF!C342, "")</f>
        <v/>
      </c>
      <c r="D344">
        <f>IF(A344&lt;&gt;"", NF!D342, "")</f>
        <v/>
      </c>
      <c r="E344">
        <f>IF(A344&lt;&gt;"", XLOOKUP(A344, Extrato!$D:$D, Extrato!$A:$A, ""), "")</f>
        <v/>
      </c>
      <c r="F344">
        <f>IF(A344&lt;&gt;"", XLOOKUP(A344, Extrato!$D:$D, Extrato!$B:$B, ""), "")</f>
        <v/>
      </c>
      <c r="G344">
        <f>IF(A344&lt;&gt;"", XLOOKUP(A344, Extrato!$D:$D, Extrato!$C:$C, ""), "")</f>
        <v/>
      </c>
      <c r="H344">
        <f>IF(A344="", "", IF(E344="", "Pendente", IF(C344=G344, "OK", "Valor divergente")))</f>
        <v/>
      </c>
    </row>
    <row r="345">
      <c r="A345">
        <f>IF(NF!A343&lt;&gt;"", NF!A343, "")</f>
        <v/>
      </c>
      <c r="B345">
        <f>IF(A345&lt;&gt;"", NF!B343, "")</f>
        <v/>
      </c>
      <c r="C345">
        <f>IF(A345&lt;&gt;"", NF!C343, "")</f>
        <v/>
      </c>
      <c r="D345">
        <f>IF(A345&lt;&gt;"", NF!D343, "")</f>
        <v/>
      </c>
      <c r="E345">
        <f>IF(A345&lt;&gt;"", XLOOKUP(A345, Extrato!$D:$D, Extrato!$A:$A, ""), "")</f>
        <v/>
      </c>
      <c r="F345">
        <f>IF(A345&lt;&gt;"", XLOOKUP(A345, Extrato!$D:$D, Extrato!$B:$B, ""), "")</f>
        <v/>
      </c>
      <c r="G345">
        <f>IF(A345&lt;&gt;"", XLOOKUP(A345, Extrato!$D:$D, Extrato!$C:$C, ""), "")</f>
        <v/>
      </c>
      <c r="H345">
        <f>IF(A345="", "", IF(E345="", "Pendente", IF(C345=G345, "OK", "Valor divergente")))</f>
        <v/>
      </c>
    </row>
    <row r="346">
      <c r="A346">
        <f>IF(NF!A344&lt;&gt;"", NF!A344, "")</f>
        <v/>
      </c>
      <c r="B346">
        <f>IF(A346&lt;&gt;"", NF!B344, "")</f>
        <v/>
      </c>
      <c r="C346">
        <f>IF(A346&lt;&gt;"", NF!C344, "")</f>
        <v/>
      </c>
      <c r="D346">
        <f>IF(A346&lt;&gt;"", NF!D344, "")</f>
        <v/>
      </c>
      <c r="E346">
        <f>IF(A346&lt;&gt;"", XLOOKUP(A346, Extrato!$D:$D, Extrato!$A:$A, ""), "")</f>
        <v/>
      </c>
      <c r="F346">
        <f>IF(A346&lt;&gt;"", XLOOKUP(A346, Extrato!$D:$D, Extrato!$B:$B, ""), "")</f>
        <v/>
      </c>
      <c r="G346">
        <f>IF(A346&lt;&gt;"", XLOOKUP(A346, Extrato!$D:$D, Extrato!$C:$C, ""), "")</f>
        <v/>
      </c>
      <c r="H346">
        <f>IF(A346="", "", IF(E346="", "Pendente", IF(C346=G346, "OK", "Valor divergente")))</f>
        <v/>
      </c>
    </row>
    <row r="347">
      <c r="A347">
        <f>IF(NF!A345&lt;&gt;"", NF!A345, "")</f>
        <v/>
      </c>
      <c r="B347">
        <f>IF(A347&lt;&gt;"", NF!B345, "")</f>
        <v/>
      </c>
      <c r="C347">
        <f>IF(A347&lt;&gt;"", NF!C345, "")</f>
        <v/>
      </c>
      <c r="D347">
        <f>IF(A347&lt;&gt;"", NF!D345, "")</f>
        <v/>
      </c>
      <c r="E347">
        <f>IF(A347&lt;&gt;"", XLOOKUP(A347, Extrato!$D:$D, Extrato!$A:$A, ""), "")</f>
        <v/>
      </c>
      <c r="F347">
        <f>IF(A347&lt;&gt;"", XLOOKUP(A347, Extrato!$D:$D, Extrato!$B:$B, ""), "")</f>
        <v/>
      </c>
      <c r="G347">
        <f>IF(A347&lt;&gt;"", XLOOKUP(A347, Extrato!$D:$D, Extrato!$C:$C, ""), "")</f>
        <v/>
      </c>
      <c r="H347">
        <f>IF(A347="", "", IF(E347="", "Pendente", IF(C347=G347, "OK", "Valor divergente")))</f>
        <v/>
      </c>
    </row>
    <row r="348">
      <c r="A348">
        <f>IF(NF!A346&lt;&gt;"", NF!A346, "")</f>
        <v/>
      </c>
      <c r="B348">
        <f>IF(A348&lt;&gt;"", NF!B346, "")</f>
        <v/>
      </c>
      <c r="C348">
        <f>IF(A348&lt;&gt;"", NF!C346, "")</f>
        <v/>
      </c>
      <c r="D348">
        <f>IF(A348&lt;&gt;"", NF!D346, "")</f>
        <v/>
      </c>
      <c r="E348">
        <f>IF(A348&lt;&gt;"", XLOOKUP(A348, Extrato!$D:$D, Extrato!$A:$A, ""), "")</f>
        <v/>
      </c>
      <c r="F348">
        <f>IF(A348&lt;&gt;"", XLOOKUP(A348, Extrato!$D:$D, Extrato!$B:$B, ""), "")</f>
        <v/>
      </c>
      <c r="G348">
        <f>IF(A348&lt;&gt;"", XLOOKUP(A348, Extrato!$D:$D, Extrato!$C:$C, ""), "")</f>
        <v/>
      </c>
      <c r="H348">
        <f>IF(A348="", "", IF(E348="", "Pendente", IF(C348=G348, "OK", "Valor divergente")))</f>
        <v/>
      </c>
    </row>
    <row r="349">
      <c r="A349">
        <f>IF(NF!A347&lt;&gt;"", NF!A347, "")</f>
        <v/>
      </c>
      <c r="B349">
        <f>IF(A349&lt;&gt;"", NF!B347, "")</f>
        <v/>
      </c>
      <c r="C349">
        <f>IF(A349&lt;&gt;"", NF!C347, "")</f>
        <v/>
      </c>
      <c r="D349">
        <f>IF(A349&lt;&gt;"", NF!D347, "")</f>
        <v/>
      </c>
      <c r="E349">
        <f>IF(A349&lt;&gt;"", XLOOKUP(A349, Extrato!$D:$D, Extrato!$A:$A, ""), "")</f>
        <v/>
      </c>
      <c r="F349">
        <f>IF(A349&lt;&gt;"", XLOOKUP(A349, Extrato!$D:$D, Extrato!$B:$B, ""), "")</f>
        <v/>
      </c>
      <c r="G349">
        <f>IF(A349&lt;&gt;"", XLOOKUP(A349, Extrato!$D:$D, Extrato!$C:$C, ""), "")</f>
        <v/>
      </c>
      <c r="H349">
        <f>IF(A349="", "", IF(E349="", "Pendente", IF(C349=G349, "OK", "Valor divergente")))</f>
        <v/>
      </c>
    </row>
    <row r="350">
      <c r="A350">
        <f>IF(NF!A348&lt;&gt;"", NF!A348, "")</f>
        <v/>
      </c>
      <c r="B350">
        <f>IF(A350&lt;&gt;"", NF!B348, "")</f>
        <v/>
      </c>
      <c r="C350">
        <f>IF(A350&lt;&gt;"", NF!C348, "")</f>
        <v/>
      </c>
      <c r="D350">
        <f>IF(A350&lt;&gt;"", NF!D348, "")</f>
        <v/>
      </c>
      <c r="E350">
        <f>IF(A350&lt;&gt;"", XLOOKUP(A350, Extrato!$D:$D, Extrato!$A:$A, ""), "")</f>
        <v/>
      </c>
      <c r="F350">
        <f>IF(A350&lt;&gt;"", XLOOKUP(A350, Extrato!$D:$D, Extrato!$B:$B, ""), "")</f>
        <v/>
      </c>
      <c r="G350">
        <f>IF(A350&lt;&gt;"", XLOOKUP(A350, Extrato!$D:$D, Extrato!$C:$C, ""), "")</f>
        <v/>
      </c>
      <c r="H350">
        <f>IF(A350="", "", IF(E350="", "Pendente", IF(C350=G350, "OK", "Valor divergente")))</f>
        <v/>
      </c>
    </row>
    <row r="351">
      <c r="A351">
        <f>IF(NF!A349&lt;&gt;"", NF!A349, "")</f>
        <v/>
      </c>
      <c r="B351">
        <f>IF(A351&lt;&gt;"", NF!B349, "")</f>
        <v/>
      </c>
      <c r="C351">
        <f>IF(A351&lt;&gt;"", NF!C349, "")</f>
        <v/>
      </c>
      <c r="D351">
        <f>IF(A351&lt;&gt;"", NF!D349, "")</f>
        <v/>
      </c>
      <c r="E351">
        <f>IF(A351&lt;&gt;"", XLOOKUP(A351, Extrato!$D:$D, Extrato!$A:$A, ""), "")</f>
        <v/>
      </c>
      <c r="F351">
        <f>IF(A351&lt;&gt;"", XLOOKUP(A351, Extrato!$D:$D, Extrato!$B:$B, ""), "")</f>
        <v/>
      </c>
      <c r="G351">
        <f>IF(A351&lt;&gt;"", XLOOKUP(A351, Extrato!$D:$D, Extrato!$C:$C, ""), "")</f>
        <v/>
      </c>
      <c r="H351">
        <f>IF(A351="", "", IF(E351="", "Pendente", IF(C351=G351, "OK", "Valor divergente")))</f>
        <v/>
      </c>
    </row>
    <row r="352">
      <c r="A352">
        <f>IF(NF!A350&lt;&gt;"", NF!A350, "")</f>
        <v/>
      </c>
      <c r="B352">
        <f>IF(A352&lt;&gt;"", NF!B350, "")</f>
        <v/>
      </c>
      <c r="C352">
        <f>IF(A352&lt;&gt;"", NF!C350, "")</f>
        <v/>
      </c>
      <c r="D352">
        <f>IF(A352&lt;&gt;"", NF!D350, "")</f>
        <v/>
      </c>
      <c r="E352">
        <f>IF(A352&lt;&gt;"", XLOOKUP(A352, Extrato!$D:$D, Extrato!$A:$A, ""), "")</f>
        <v/>
      </c>
      <c r="F352">
        <f>IF(A352&lt;&gt;"", XLOOKUP(A352, Extrato!$D:$D, Extrato!$B:$B, ""), "")</f>
        <v/>
      </c>
      <c r="G352">
        <f>IF(A352&lt;&gt;"", XLOOKUP(A352, Extrato!$D:$D, Extrato!$C:$C, ""), "")</f>
        <v/>
      </c>
      <c r="H352">
        <f>IF(A352="", "", IF(E352="", "Pendente", IF(C352=G352, "OK", "Valor divergente")))</f>
        <v/>
      </c>
    </row>
    <row r="353">
      <c r="A353">
        <f>IF(NF!A351&lt;&gt;"", NF!A351, "")</f>
        <v/>
      </c>
      <c r="B353">
        <f>IF(A353&lt;&gt;"", NF!B351, "")</f>
        <v/>
      </c>
      <c r="C353">
        <f>IF(A353&lt;&gt;"", NF!C351, "")</f>
        <v/>
      </c>
      <c r="D353">
        <f>IF(A353&lt;&gt;"", NF!D351, "")</f>
        <v/>
      </c>
      <c r="E353">
        <f>IF(A353&lt;&gt;"", XLOOKUP(A353, Extrato!$D:$D, Extrato!$A:$A, ""), "")</f>
        <v/>
      </c>
      <c r="F353">
        <f>IF(A353&lt;&gt;"", XLOOKUP(A353, Extrato!$D:$D, Extrato!$B:$B, ""), "")</f>
        <v/>
      </c>
      <c r="G353">
        <f>IF(A353&lt;&gt;"", XLOOKUP(A353, Extrato!$D:$D, Extrato!$C:$C, ""), "")</f>
        <v/>
      </c>
      <c r="H353">
        <f>IF(A353="", "", IF(E353="", "Pendente", IF(C353=G353, "OK", "Valor divergente")))</f>
        <v/>
      </c>
    </row>
    <row r="354">
      <c r="A354">
        <f>IF(NF!A352&lt;&gt;"", NF!A352, "")</f>
        <v/>
      </c>
      <c r="B354">
        <f>IF(A354&lt;&gt;"", NF!B352, "")</f>
        <v/>
      </c>
      <c r="C354">
        <f>IF(A354&lt;&gt;"", NF!C352, "")</f>
        <v/>
      </c>
      <c r="D354">
        <f>IF(A354&lt;&gt;"", NF!D352, "")</f>
        <v/>
      </c>
      <c r="E354">
        <f>IF(A354&lt;&gt;"", XLOOKUP(A354, Extrato!$D:$D, Extrato!$A:$A, ""), "")</f>
        <v/>
      </c>
      <c r="F354">
        <f>IF(A354&lt;&gt;"", XLOOKUP(A354, Extrato!$D:$D, Extrato!$B:$B, ""), "")</f>
        <v/>
      </c>
      <c r="G354">
        <f>IF(A354&lt;&gt;"", XLOOKUP(A354, Extrato!$D:$D, Extrato!$C:$C, ""), "")</f>
        <v/>
      </c>
      <c r="H354">
        <f>IF(A354="", "", IF(E354="", "Pendente", IF(C354=G354, "OK", "Valor divergente")))</f>
        <v/>
      </c>
    </row>
    <row r="355">
      <c r="A355">
        <f>IF(NF!A353&lt;&gt;"", NF!A353, "")</f>
        <v/>
      </c>
      <c r="B355">
        <f>IF(A355&lt;&gt;"", NF!B353, "")</f>
        <v/>
      </c>
      <c r="C355">
        <f>IF(A355&lt;&gt;"", NF!C353, "")</f>
        <v/>
      </c>
      <c r="D355">
        <f>IF(A355&lt;&gt;"", NF!D353, "")</f>
        <v/>
      </c>
      <c r="E355">
        <f>IF(A355&lt;&gt;"", XLOOKUP(A355, Extrato!$D:$D, Extrato!$A:$A, ""), "")</f>
        <v/>
      </c>
      <c r="F355">
        <f>IF(A355&lt;&gt;"", XLOOKUP(A355, Extrato!$D:$D, Extrato!$B:$B, ""), "")</f>
        <v/>
      </c>
      <c r="G355">
        <f>IF(A355&lt;&gt;"", XLOOKUP(A355, Extrato!$D:$D, Extrato!$C:$C, ""), "")</f>
        <v/>
      </c>
      <c r="H355">
        <f>IF(A355="", "", IF(E355="", "Pendente", IF(C355=G355, "OK", "Valor divergente")))</f>
        <v/>
      </c>
    </row>
    <row r="356">
      <c r="A356">
        <f>IF(NF!A354&lt;&gt;"", NF!A354, "")</f>
        <v/>
      </c>
      <c r="B356">
        <f>IF(A356&lt;&gt;"", NF!B354, "")</f>
        <v/>
      </c>
      <c r="C356">
        <f>IF(A356&lt;&gt;"", NF!C354, "")</f>
        <v/>
      </c>
      <c r="D356">
        <f>IF(A356&lt;&gt;"", NF!D354, "")</f>
        <v/>
      </c>
      <c r="E356">
        <f>IF(A356&lt;&gt;"", XLOOKUP(A356, Extrato!$D:$D, Extrato!$A:$A, ""), "")</f>
        <v/>
      </c>
      <c r="F356">
        <f>IF(A356&lt;&gt;"", XLOOKUP(A356, Extrato!$D:$D, Extrato!$B:$B, ""), "")</f>
        <v/>
      </c>
      <c r="G356">
        <f>IF(A356&lt;&gt;"", XLOOKUP(A356, Extrato!$D:$D, Extrato!$C:$C, ""), "")</f>
        <v/>
      </c>
      <c r="H356">
        <f>IF(A356="", "", IF(E356="", "Pendente", IF(C356=G356, "OK", "Valor divergente")))</f>
        <v/>
      </c>
    </row>
    <row r="357">
      <c r="A357">
        <f>IF(NF!A355&lt;&gt;"", NF!A355, "")</f>
        <v/>
      </c>
      <c r="B357">
        <f>IF(A357&lt;&gt;"", NF!B355, "")</f>
        <v/>
      </c>
      <c r="C357">
        <f>IF(A357&lt;&gt;"", NF!C355, "")</f>
        <v/>
      </c>
      <c r="D357">
        <f>IF(A357&lt;&gt;"", NF!D355, "")</f>
        <v/>
      </c>
      <c r="E357">
        <f>IF(A357&lt;&gt;"", XLOOKUP(A357, Extrato!$D:$D, Extrato!$A:$A, ""), "")</f>
        <v/>
      </c>
      <c r="F357">
        <f>IF(A357&lt;&gt;"", XLOOKUP(A357, Extrato!$D:$D, Extrato!$B:$B, ""), "")</f>
        <v/>
      </c>
      <c r="G357">
        <f>IF(A357&lt;&gt;"", XLOOKUP(A357, Extrato!$D:$D, Extrato!$C:$C, ""), "")</f>
        <v/>
      </c>
      <c r="H357">
        <f>IF(A357="", "", IF(E357="", "Pendente", IF(C357=G357, "OK", "Valor divergente")))</f>
        <v/>
      </c>
    </row>
    <row r="358">
      <c r="A358">
        <f>IF(NF!A356&lt;&gt;"", NF!A356, "")</f>
        <v/>
      </c>
      <c r="B358">
        <f>IF(A358&lt;&gt;"", NF!B356, "")</f>
        <v/>
      </c>
      <c r="C358">
        <f>IF(A358&lt;&gt;"", NF!C356, "")</f>
        <v/>
      </c>
      <c r="D358">
        <f>IF(A358&lt;&gt;"", NF!D356, "")</f>
        <v/>
      </c>
      <c r="E358">
        <f>IF(A358&lt;&gt;"", XLOOKUP(A358, Extrato!$D:$D, Extrato!$A:$A, ""), "")</f>
        <v/>
      </c>
      <c r="F358">
        <f>IF(A358&lt;&gt;"", XLOOKUP(A358, Extrato!$D:$D, Extrato!$B:$B, ""), "")</f>
        <v/>
      </c>
      <c r="G358">
        <f>IF(A358&lt;&gt;"", XLOOKUP(A358, Extrato!$D:$D, Extrato!$C:$C, ""), "")</f>
        <v/>
      </c>
      <c r="H358">
        <f>IF(A358="", "", IF(E358="", "Pendente", IF(C358=G358, "OK", "Valor divergente")))</f>
        <v/>
      </c>
    </row>
    <row r="359">
      <c r="A359">
        <f>IF(NF!A357&lt;&gt;"", NF!A357, "")</f>
        <v/>
      </c>
      <c r="B359">
        <f>IF(A359&lt;&gt;"", NF!B357, "")</f>
        <v/>
      </c>
      <c r="C359">
        <f>IF(A359&lt;&gt;"", NF!C357, "")</f>
        <v/>
      </c>
      <c r="D359">
        <f>IF(A359&lt;&gt;"", NF!D357, "")</f>
        <v/>
      </c>
      <c r="E359">
        <f>IF(A359&lt;&gt;"", XLOOKUP(A359, Extrato!$D:$D, Extrato!$A:$A, ""), "")</f>
        <v/>
      </c>
      <c r="F359">
        <f>IF(A359&lt;&gt;"", XLOOKUP(A359, Extrato!$D:$D, Extrato!$B:$B, ""), "")</f>
        <v/>
      </c>
      <c r="G359">
        <f>IF(A359&lt;&gt;"", XLOOKUP(A359, Extrato!$D:$D, Extrato!$C:$C, ""), "")</f>
        <v/>
      </c>
      <c r="H359">
        <f>IF(A359="", "", IF(E359="", "Pendente", IF(C359=G359, "OK", "Valor divergente")))</f>
        <v/>
      </c>
    </row>
    <row r="360">
      <c r="A360">
        <f>IF(NF!A358&lt;&gt;"", NF!A358, "")</f>
        <v/>
      </c>
      <c r="B360">
        <f>IF(A360&lt;&gt;"", NF!B358, "")</f>
        <v/>
      </c>
      <c r="C360">
        <f>IF(A360&lt;&gt;"", NF!C358, "")</f>
        <v/>
      </c>
      <c r="D360">
        <f>IF(A360&lt;&gt;"", NF!D358, "")</f>
        <v/>
      </c>
      <c r="E360">
        <f>IF(A360&lt;&gt;"", XLOOKUP(A360, Extrato!$D:$D, Extrato!$A:$A, ""), "")</f>
        <v/>
      </c>
      <c r="F360">
        <f>IF(A360&lt;&gt;"", XLOOKUP(A360, Extrato!$D:$D, Extrato!$B:$B, ""), "")</f>
        <v/>
      </c>
      <c r="G360">
        <f>IF(A360&lt;&gt;"", XLOOKUP(A360, Extrato!$D:$D, Extrato!$C:$C, ""), "")</f>
        <v/>
      </c>
      <c r="H360">
        <f>IF(A360="", "", IF(E360="", "Pendente", IF(C360=G360, "OK", "Valor divergente")))</f>
        <v/>
      </c>
    </row>
    <row r="361">
      <c r="A361">
        <f>IF(NF!A359&lt;&gt;"", NF!A359, "")</f>
        <v/>
      </c>
      <c r="B361">
        <f>IF(A361&lt;&gt;"", NF!B359, "")</f>
        <v/>
      </c>
      <c r="C361">
        <f>IF(A361&lt;&gt;"", NF!C359, "")</f>
        <v/>
      </c>
      <c r="D361">
        <f>IF(A361&lt;&gt;"", NF!D359, "")</f>
        <v/>
      </c>
      <c r="E361">
        <f>IF(A361&lt;&gt;"", XLOOKUP(A361, Extrato!$D:$D, Extrato!$A:$A, ""), "")</f>
        <v/>
      </c>
      <c r="F361">
        <f>IF(A361&lt;&gt;"", XLOOKUP(A361, Extrato!$D:$D, Extrato!$B:$B, ""), "")</f>
        <v/>
      </c>
      <c r="G361">
        <f>IF(A361&lt;&gt;"", XLOOKUP(A361, Extrato!$D:$D, Extrato!$C:$C, ""), "")</f>
        <v/>
      </c>
      <c r="H361">
        <f>IF(A361="", "", IF(E361="", "Pendente", IF(C361=G361, "OK", "Valor divergente")))</f>
        <v/>
      </c>
    </row>
    <row r="362">
      <c r="A362">
        <f>IF(NF!A360&lt;&gt;"", NF!A360, "")</f>
        <v/>
      </c>
      <c r="B362">
        <f>IF(A362&lt;&gt;"", NF!B360, "")</f>
        <v/>
      </c>
      <c r="C362">
        <f>IF(A362&lt;&gt;"", NF!C360, "")</f>
        <v/>
      </c>
      <c r="D362">
        <f>IF(A362&lt;&gt;"", NF!D360, "")</f>
        <v/>
      </c>
      <c r="E362">
        <f>IF(A362&lt;&gt;"", XLOOKUP(A362, Extrato!$D:$D, Extrato!$A:$A, ""), "")</f>
        <v/>
      </c>
      <c r="F362">
        <f>IF(A362&lt;&gt;"", XLOOKUP(A362, Extrato!$D:$D, Extrato!$B:$B, ""), "")</f>
        <v/>
      </c>
      <c r="G362">
        <f>IF(A362&lt;&gt;"", XLOOKUP(A362, Extrato!$D:$D, Extrato!$C:$C, ""), "")</f>
        <v/>
      </c>
      <c r="H362">
        <f>IF(A362="", "", IF(E362="", "Pendente", IF(C362=G362, "OK", "Valor divergente")))</f>
        <v/>
      </c>
    </row>
    <row r="363">
      <c r="A363">
        <f>IF(NF!A361&lt;&gt;"", NF!A361, "")</f>
        <v/>
      </c>
      <c r="B363">
        <f>IF(A363&lt;&gt;"", NF!B361, "")</f>
        <v/>
      </c>
      <c r="C363">
        <f>IF(A363&lt;&gt;"", NF!C361, "")</f>
        <v/>
      </c>
      <c r="D363">
        <f>IF(A363&lt;&gt;"", NF!D361, "")</f>
        <v/>
      </c>
      <c r="E363">
        <f>IF(A363&lt;&gt;"", XLOOKUP(A363, Extrato!$D:$D, Extrato!$A:$A, ""), "")</f>
        <v/>
      </c>
      <c r="F363">
        <f>IF(A363&lt;&gt;"", XLOOKUP(A363, Extrato!$D:$D, Extrato!$B:$B, ""), "")</f>
        <v/>
      </c>
      <c r="G363">
        <f>IF(A363&lt;&gt;"", XLOOKUP(A363, Extrato!$D:$D, Extrato!$C:$C, ""), "")</f>
        <v/>
      </c>
      <c r="H363">
        <f>IF(A363="", "", IF(E363="", "Pendente", IF(C363=G363, "OK", "Valor divergente")))</f>
        <v/>
      </c>
    </row>
    <row r="364">
      <c r="A364">
        <f>IF(NF!A362&lt;&gt;"", NF!A362, "")</f>
        <v/>
      </c>
      <c r="B364">
        <f>IF(A364&lt;&gt;"", NF!B362, "")</f>
        <v/>
      </c>
      <c r="C364">
        <f>IF(A364&lt;&gt;"", NF!C362, "")</f>
        <v/>
      </c>
      <c r="D364">
        <f>IF(A364&lt;&gt;"", NF!D362, "")</f>
        <v/>
      </c>
      <c r="E364">
        <f>IF(A364&lt;&gt;"", XLOOKUP(A364, Extrato!$D:$D, Extrato!$A:$A, ""), "")</f>
        <v/>
      </c>
      <c r="F364">
        <f>IF(A364&lt;&gt;"", XLOOKUP(A364, Extrato!$D:$D, Extrato!$B:$B, ""), "")</f>
        <v/>
      </c>
      <c r="G364">
        <f>IF(A364&lt;&gt;"", XLOOKUP(A364, Extrato!$D:$D, Extrato!$C:$C, ""), "")</f>
        <v/>
      </c>
      <c r="H364">
        <f>IF(A364="", "", IF(E364="", "Pendente", IF(C364=G364, "OK", "Valor divergente")))</f>
        <v/>
      </c>
    </row>
    <row r="365">
      <c r="A365">
        <f>IF(NF!A363&lt;&gt;"", NF!A363, "")</f>
        <v/>
      </c>
      <c r="B365">
        <f>IF(A365&lt;&gt;"", NF!B363, "")</f>
        <v/>
      </c>
      <c r="C365">
        <f>IF(A365&lt;&gt;"", NF!C363, "")</f>
        <v/>
      </c>
      <c r="D365">
        <f>IF(A365&lt;&gt;"", NF!D363, "")</f>
        <v/>
      </c>
      <c r="E365">
        <f>IF(A365&lt;&gt;"", XLOOKUP(A365, Extrato!$D:$D, Extrato!$A:$A, ""), "")</f>
        <v/>
      </c>
      <c r="F365">
        <f>IF(A365&lt;&gt;"", XLOOKUP(A365, Extrato!$D:$D, Extrato!$B:$B, ""), "")</f>
        <v/>
      </c>
      <c r="G365">
        <f>IF(A365&lt;&gt;"", XLOOKUP(A365, Extrato!$D:$D, Extrato!$C:$C, ""), "")</f>
        <v/>
      </c>
      <c r="H365">
        <f>IF(A365="", "", IF(E365="", "Pendente", IF(C365=G365, "OK", "Valor divergente")))</f>
        <v/>
      </c>
    </row>
    <row r="366">
      <c r="A366">
        <f>IF(NF!A364&lt;&gt;"", NF!A364, "")</f>
        <v/>
      </c>
      <c r="B366">
        <f>IF(A366&lt;&gt;"", NF!B364, "")</f>
        <v/>
      </c>
      <c r="C366">
        <f>IF(A366&lt;&gt;"", NF!C364, "")</f>
        <v/>
      </c>
      <c r="D366">
        <f>IF(A366&lt;&gt;"", NF!D364, "")</f>
        <v/>
      </c>
      <c r="E366">
        <f>IF(A366&lt;&gt;"", XLOOKUP(A366, Extrato!$D:$D, Extrato!$A:$A, ""), "")</f>
        <v/>
      </c>
      <c r="F366">
        <f>IF(A366&lt;&gt;"", XLOOKUP(A366, Extrato!$D:$D, Extrato!$B:$B, ""), "")</f>
        <v/>
      </c>
      <c r="G366">
        <f>IF(A366&lt;&gt;"", XLOOKUP(A366, Extrato!$D:$D, Extrato!$C:$C, ""), "")</f>
        <v/>
      </c>
      <c r="H366">
        <f>IF(A366="", "", IF(E366="", "Pendente", IF(C366=G366, "OK", "Valor divergente")))</f>
        <v/>
      </c>
    </row>
    <row r="367">
      <c r="A367">
        <f>IF(NF!A365&lt;&gt;"", NF!A365, "")</f>
        <v/>
      </c>
      <c r="B367">
        <f>IF(A367&lt;&gt;"", NF!B365, "")</f>
        <v/>
      </c>
      <c r="C367">
        <f>IF(A367&lt;&gt;"", NF!C365, "")</f>
        <v/>
      </c>
      <c r="D367">
        <f>IF(A367&lt;&gt;"", NF!D365, "")</f>
        <v/>
      </c>
      <c r="E367">
        <f>IF(A367&lt;&gt;"", XLOOKUP(A367, Extrato!$D:$D, Extrato!$A:$A, ""), "")</f>
        <v/>
      </c>
      <c r="F367">
        <f>IF(A367&lt;&gt;"", XLOOKUP(A367, Extrato!$D:$D, Extrato!$B:$B, ""), "")</f>
        <v/>
      </c>
      <c r="G367">
        <f>IF(A367&lt;&gt;"", XLOOKUP(A367, Extrato!$D:$D, Extrato!$C:$C, ""), "")</f>
        <v/>
      </c>
      <c r="H367">
        <f>IF(A367="", "", IF(E367="", "Pendente", IF(C367=G367, "OK", "Valor divergente")))</f>
        <v/>
      </c>
    </row>
    <row r="368">
      <c r="A368">
        <f>IF(NF!A366&lt;&gt;"", NF!A366, "")</f>
        <v/>
      </c>
      <c r="B368">
        <f>IF(A368&lt;&gt;"", NF!B366, "")</f>
        <v/>
      </c>
      <c r="C368">
        <f>IF(A368&lt;&gt;"", NF!C366, "")</f>
        <v/>
      </c>
      <c r="D368">
        <f>IF(A368&lt;&gt;"", NF!D366, "")</f>
        <v/>
      </c>
      <c r="E368">
        <f>IF(A368&lt;&gt;"", XLOOKUP(A368, Extrato!$D:$D, Extrato!$A:$A, ""), "")</f>
        <v/>
      </c>
      <c r="F368">
        <f>IF(A368&lt;&gt;"", XLOOKUP(A368, Extrato!$D:$D, Extrato!$B:$B, ""), "")</f>
        <v/>
      </c>
      <c r="G368">
        <f>IF(A368&lt;&gt;"", XLOOKUP(A368, Extrato!$D:$D, Extrato!$C:$C, ""), "")</f>
        <v/>
      </c>
      <c r="H368">
        <f>IF(A368="", "", IF(E368="", "Pendente", IF(C368=G368, "OK", "Valor divergente")))</f>
        <v/>
      </c>
    </row>
    <row r="369">
      <c r="A369">
        <f>IF(NF!A367&lt;&gt;"", NF!A367, "")</f>
        <v/>
      </c>
      <c r="B369">
        <f>IF(A369&lt;&gt;"", NF!B367, "")</f>
        <v/>
      </c>
      <c r="C369">
        <f>IF(A369&lt;&gt;"", NF!C367, "")</f>
        <v/>
      </c>
      <c r="D369">
        <f>IF(A369&lt;&gt;"", NF!D367, "")</f>
        <v/>
      </c>
      <c r="E369">
        <f>IF(A369&lt;&gt;"", XLOOKUP(A369, Extrato!$D:$D, Extrato!$A:$A, ""), "")</f>
        <v/>
      </c>
      <c r="F369">
        <f>IF(A369&lt;&gt;"", XLOOKUP(A369, Extrato!$D:$D, Extrato!$B:$B, ""), "")</f>
        <v/>
      </c>
      <c r="G369">
        <f>IF(A369&lt;&gt;"", XLOOKUP(A369, Extrato!$D:$D, Extrato!$C:$C, ""), "")</f>
        <v/>
      </c>
      <c r="H369">
        <f>IF(A369="", "", IF(E369="", "Pendente", IF(C369=G369, "OK", "Valor divergente")))</f>
        <v/>
      </c>
    </row>
    <row r="370">
      <c r="A370">
        <f>IF(NF!A368&lt;&gt;"", NF!A368, "")</f>
        <v/>
      </c>
      <c r="B370">
        <f>IF(A370&lt;&gt;"", NF!B368, "")</f>
        <v/>
      </c>
      <c r="C370">
        <f>IF(A370&lt;&gt;"", NF!C368, "")</f>
        <v/>
      </c>
      <c r="D370">
        <f>IF(A370&lt;&gt;"", NF!D368, "")</f>
        <v/>
      </c>
      <c r="E370">
        <f>IF(A370&lt;&gt;"", XLOOKUP(A370, Extrato!$D:$D, Extrato!$A:$A, ""), "")</f>
        <v/>
      </c>
      <c r="F370">
        <f>IF(A370&lt;&gt;"", XLOOKUP(A370, Extrato!$D:$D, Extrato!$B:$B, ""), "")</f>
        <v/>
      </c>
      <c r="G370">
        <f>IF(A370&lt;&gt;"", XLOOKUP(A370, Extrato!$D:$D, Extrato!$C:$C, ""), "")</f>
        <v/>
      </c>
      <c r="H370">
        <f>IF(A370="", "", IF(E370="", "Pendente", IF(C370=G370, "OK", "Valor divergente")))</f>
        <v/>
      </c>
    </row>
    <row r="371">
      <c r="A371">
        <f>IF(NF!A369&lt;&gt;"", NF!A369, "")</f>
        <v/>
      </c>
      <c r="B371">
        <f>IF(A371&lt;&gt;"", NF!B369, "")</f>
        <v/>
      </c>
      <c r="C371">
        <f>IF(A371&lt;&gt;"", NF!C369, "")</f>
        <v/>
      </c>
      <c r="D371">
        <f>IF(A371&lt;&gt;"", NF!D369, "")</f>
        <v/>
      </c>
      <c r="E371">
        <f>IF(A371&lt;&gt;"", XLOOKUP(A371, Extrato!$D:$D, Extrato!$A:$A, ""), "")</f>
        <v/>
      </c>
      <c r="F371">
        <f>IF(A371&lt;&gt;"", XLOOKUP(A371, Extrato!$D:$D, Extrato!$B:$B, ""), "")</f>
        <v/>
      </c>
      <c r="G371">
        <f>IF(A371&lt;&gt;"", XLOOKUP(A371, Extrato!$D:$D, Extrato!$C:$C, ""), "")</f>
        <v/>
      </c>
      <c r="H371">
        <f>IF(A371="", "", IF(E371="", "Pendente", IF(C371=G371, "OK", "Valor divergente")))</f>
        <v/>
      </c>
    </row>
    <row r="372">
      <c r="A372">
        <f>IF(NF!A370&lt;&gt;"", NF!A370, "")</f>
        <v/>
      </c>
      <c r="B372">
        <f>IF(A372&lt;&gt;"", NF!B370, "")</f>
        <v/>
      </c>
      <c r="C372">
        <f>IF(A372&lt;&gt;"", NF!C370, "")</f>
        <v/>
      </c>
      <c r="D372">
        <f>IF(A372&lt;&gt;"", NF!D370, "")</f>
        <v/>
      </c>
      <c r="E372">
        <f>IF(A372&lt;&gt;"", XLOOKUP(A372, Extrato!$D:$D, Extrato!$A:$A, ""), "")</f>
        <v/>
      </c>
      <c r="F372">
        <f>IF(A372&lt;&gt;"", XLOOKUP(A372, Extrato!$D:$D, Extrato!$B:$B, ""), "")</f>
        <v/>
      </c>
      <c r="G372">
        <f>IF(A372&lt;&gt;"", XLOOKUP(A372, Extrato!$D:$D, Extrato!$C:$C, ""), "")</f>
        <v/>
      </c>
      <c r="H372">
        <f>IF(A372="", "", IF(E372="", "Pendente", IF(C372=G372, "OK", "Valor divergente")))</f>
        <v/>
      </c>
    </row>
    <row r="373">
      <c r="A373">
        <f>IF(NF!A371&lt;&gt;"", NF!A371, "")</f>
        <v/>
      </c>
      <c r="B373">
        <f>IF(A373&lt;&gt;"", NF!B371, "")</f>
        <v/>
      </c>
      <c r="C373">
        <f>IF(A373&lt;&gt;"", NF!C371, "")</f>
        <v/>
      </c>
      <c r="D373">
        <f>IF(A373&lt;&gt;"", NF!D371, "")</f>
        <v/>
      </c>
      <c r="E373">
        <f>IF(A373&lt;&gt;"", XLOOKUP(A373, Extrato!$D:$D, Extrato!$A:$A, ""), "")</f>
        <v/>
      </c>
      <c r="F373">
        <f>IF(A373&lt;&gt;"", XLOOKUP(A373, Extrato!$D:$D, Extrato!$B:$B, ""), "")</f>
        <v/>
      </c>
      <c r="G373">
        <f>IF(A373&lt;&gt;"", XLOOKUP(A373, Extrato!$D:$D, Extrato!$C:$C, ""), "")</f>
        <v/>
      </c>
      <c r="H373">
        <f>IF(A373="", "", IF(E373="", "Pendente", IF(C373=G373, "OK", "Valor divergente")))</f>
        <v/>
      </c>
    </row>
    <row r="374">
      <c r="A374">
        <f>IF(NF!A372&lt;&gt;"", NF!A372, "")</f>
        <v/>
      </c>
      <c r="B374">
        <f>IF(A374&lt;&gt;"", NF!B372, "")</f>
        <v/>
      </c>
      <c r="C374">
        <f>IF(A374&lt;&gt;"", NF!C372, "")</f>
        <v/>
      </c>
      <c r="D374">
        <f>IF(A374&lt;&gt;"", NF!D372, "")</f>
        <v/>
      </c>
      <c r="E374">
        <f>IF(A374&lt;&gt;"", XLOOKUP(A374, Extrato!$D:$D, Extrato!$A:$A, ""), "")</f>
        <v/>
      </c>
      <c r="F374">
        <f>IF(A374&lt;&gt;"", XLOOKUP(A374, Extrato!$D:$D, Extrato!$B:$B, ""), "")</f>
        <v/>
      </c>
      <c r="G374">
        <f>IF(A374&lt;&gt;"", XLOOKUP(A374, Extrato!$D:$D, Extrato!$C:$C, ""), "")</f>
        <v/>
      </c>
      <c r="H374">
        <f>IF(A374="", "", IF(E374="", "Pendente", IF(C374=G374, "OK", "Valor divergente")))</f>
        <v/>
      </c>
    </row>
    <row r="375">
      <c r="A375">
        <f>IF(NF!A373&lt;&gt;"", NF!A373, "")</f>
        <v/>
      </c>
      <c r="B375">
        <f>IF(A375&lt;&gt;"", NF!B373, "")</f>
        <v/>
      </c>
      <c r="C375">
        <f>IF(A375&lt;&gt;"", NF!C373, "")</f>
        <v/>
      </c>
      <c r="D375">
        <f>IF(A375&lt;&gt;"", NF!D373, "")</f>
        <v/>
      </c>
      <c r="E375">
        <f>IF(A375&lt;&gt;"", XLOOKUP(A375, Extrato!$D:$D, Extrato!$A:$A, ""), "")</f>
        <v/>
      </c>
      <c r="F375">
        <f>IF(A375&lt;&gt;"", XLOOKUP(A375, Extrato!$D:$D, Extrato!$B:$B, ""), "")</f>
        <v/>
      </c>
      <c r="G375">
        <f>IF(A375&lt;&gt;"", XLOOKUP(A375, Extrato!$D:$D, Extrato!$C:$C, ""), "")</f>
        <v/>
      </c>
      <c r="H375">
        <f>IF(A375="", "", IF(E375="", "Pendente", IF(C375=G375, "OK", "Valor divergente")))</f>
        <v/>
      </c>
    </row>
    <row r="376">
      <c r="A376">
        <f>IF(NF!A374&lt;&gt;"", NF!A374, "")</f>
        <v/>
      </c>
      <c r="B376">
        <f>IF(A376&lt;&gt;"", NF!B374, "")</f>
        <v/>
      </c>
      <c r="C376">
        <f>IF(A376&lt;&gt;"", NF!C374, "")</f>
        <v/>
      </c>
      <c r="D376">
        <f>IF(A376&lt;&gt;"", NF!D374, "")</f>
        <v/>
      </c>
      <c r="E376">
        <f>IF(A376&lt;&gt;"", XLOOKUP(A376, Extrato!$D:$D, Extrato!$A:$A, ""), "")</f>
        <v/>
      </c>
      <c r="F376">
        <f>IF(A376&lt;&gt;"", XLOOKUP(A376, Extrato!$D:$D, Extrato!$B:$B, ""), "")</f>
        <v/>
      </c>
      <c r="G376">
        <f>IF(A376&lt;&gt;"", XLOOKUP(A376, Extrato!$D:$D, Extrato!$C:$C, ""), "")</f>
        <v/>
      </c>
      <c r="H376">
        <f>IF(A376="", "", IF(E376="", "Pendente", IF(C376=G376, "OK", "Valor divergente")))</f>
        <v/>
      </c>
    </row>
    <row r="377">
      <c r="A377">
        <f>IF(NF!A375&lt;&gt;"", NF!A375, "")</f>
        <v/>
      </c>
      <c r="B377">
        <f>IF(A377&lt;&gt;"", NF!B375, "")</f>
        <v/>
      </c>
      <c r="C377">
        <f>IF(A377&lt;&gt;"", NF!C375, "")</f>
        <v/>
      </c>
      <c r="D377">
        <f>IF(A377&lt;&gt;"", NF!D375, "")</f>
        <v/>
      </c>
      <c r="E377">
        <f>IF(A377&lt;&gt;"", XLOOKUP(A377, Extrato!$D:$D, Extrato!$A:$A, ""), "")</f>
        <v/>
      </c>
      <c r="F377">
        <f>IF(A377&lt;&gt;"", XLOOKUP(A377, Extrato!$D:$D, Extrato!$B:$B, ""), "")</f>
        <v/>
      </c>
      <c r="G377">
        <f>IF(A377&lt;&gt;"", XLOOKUP(A377, Extrato!$D:$D, Extrato!$C:$C, ""), "")</f>
        <v/>
      </c>
      <c r="H377">
        <f>IF(A377="", "", IF(E377="", "Pendente", IF(C377=G377, "OK", "Valor divergente")))</f>
        <v/>
      </c>
    </row>
    <row r="378">
      <c r="A378">
        <f>IF(NF!A376&lt;&gt;"", NF!A376, "")</f>
        <v/>
      </c>
      <c r="B378">
        <f>IF(A378&lt;&gt;"", NF!B376, "")</f>
        <v/>
      </c>
      <c r="C378">
        <f>IF(A378&lt;&gt;"", NF!C376, "")</f>
        <v/>
      </c>
      <c r="D378">
        <f>IF(A378&lt;&gt;"", NF!D376, "")</f>
        <v/>
      </c>
      <c r="E378">
        <f>IF(A378&lt;&gt;"", XLOOKUP(A378, Extrato!$D:$D, Extrato!$A:$A, ""), "")</f>
        <v/>
      </c>
      <c r="F378">
        <f>IF(A378&lt;&gt;"", XLOOKUP(A378, Extrato!$D:$D, Extrato!$B:$B, ""), "")</f>
        <v/>
      </c>
      <c r="G378">
        <f>IF(A378&lt;&gt;"", XLOOKUP(A378, Extrato!$D:$D, Extrato!$C:$C, ""), "")</f>
        <v/>
      </c>
      <c r="H378">
        <f>IF(A378="", "", IF(E378="", "Pendente", IF(C378=G378, "OK", "Valor divergente")))</f>
        <v/>
      </c>
    </row>
    <row r="379">
      <c r="A379">
        <f>IF(NF!A377&lt;&gt;"", NF!A377, "")</f>
        <v/>
      </c>
      <c r="B379">
        <f>IF(A379&lt;&gt;"", NF!B377, "")</f>
        <v/>
      </c>
      <c r="C379">
        <f>IF(A379&lt;&gt;"", NF!C377, "")</f>
        <v/>
      </c>
      <c r="D379">
        <f>IF(A379&lt;&gt;"", NF!D377, "")</f>
        <v/>
      </c>
      <c r="E379">
        <f>IF(A379&lt;&gt;"", XLOOKUP(A379, Extrato!$D:$D, Extrato!$A:$A, ""), "")</f>
        <v/>
      </c>
      <c r="F379">
        <f>IF(A379&lt;&gt;"", XLOOKUP(A379, Extrato!$D:$D, Extrato!$B:$B, ""), "")</f>
        <v/>
      </c>
      <c r="G379">
        <f>IF(A379&lt;&gt;"", XLOOKUP(A379, Extrato!$D:$D, Extrato!$C:$C, ""), "")</f>
        <v/>
      </c>
      <c r="H379">
        <f>IF(A379="", "", IF(E379="", "Pendente", IF(C379=G379, "OK", "Valor divergente")))</f>
        <v/>
      </c>
    </row>
    <row r="380">
      <c r="A380">
        <f>IF(NF!A378&lt;&gt;"", NF!A378, "")</f>
        <v/>
      </c>
      <c r="B380">
        <f>IF(A380&lt;&gt;"", NF!B378, "")</f>
        <v/>
      </c>
      <c r="C380">
        <f>IF(A380&lt;&gt;"", NF!C378, "")</f>
        <v/>
      </c>
      <c r="D380">
        <f>IF(A380&lt;&gt;"", NF!D378, "")</f>
        <v/>
      </c>
      <c r="E380">
        <f>IF(A380&lt;&gt;"", XLOOKUP(A380, Extrato!$D:$D, Extrato!$A:$A, ""), "")</f>
        <v/>
      </c>
      <c r="F380">
        <f>IF(A380&lt;&gt;"", XLOOKUP(A380, Extrato!$D:$D, Extrato!$B:$B, ""), "")</f>
        <v/>
      </c>
      <c r="G380">
        <f>IF(A380&lt;&gt;"", XLOOKUP(A380, Extrato!$D:$D, Extrato!$C:$C, ""), "")</f>
        <v/>
      </c>
      <c r="H380">
        <f>IF(A380="", "", IF(E380="", "Pendente", IF(C380=G380, "OK", "Valor divergente")))</f>
        <v/>
      </c>
    </row>
    <row r="381">
      <c r="A381">
        <f>IF(NF!A379&lt;&gt;"", NF!A379, "")</f>
        <v/>
      </c>
      <c r="B381">
        <f>IF(A381&lt;&gt;"", NF!B379, "")</f>
        <v/>
      </c>
      <c r="C381">
        <f>IF(A381&lt;&gt;"", NF!C379, "")</f>
        <v/>
      </c>
      <c r="D381">
        <f>IF(A381&lt;&gt;"", NF!D379, "")</f>
        <v/>
      </c>
      <c r="E381">
        <f>IF(A381&lt;&gt;"", XLOOKUP(A381, Extrato!$D:$D, Extrato!$A:$A, ""), "")</f>
        <v/>
      </c>
      <c r="F381">
        <f>IF(A381&lt;&gt;"", XLOOKUP(A381, Extrato!$D:$D, Extrato!$B:$B, ""), "")</f>
        <v/>
      </c>
      <c r="G381">
        <f>IF(A381&lt;&gt;"", XLOOKUP(A381, Extrato!$D:$D, Extrato!$C:$C, ""), "")</f>
        <v/>
      </c>
      <c r="H381">
        <f>IF(A381="", "", IF(E381="", "Pendente", IF(C381=G381, "OK", "Valor divergente")))</f>
        <v/>
      </c>
    </row>
    <row r="382">
      <c r="A382">
        <f>IF(NF!A380&lt;&gt;"", NF!A380, "")</f>
        <v/>
      </c>
      <c r="B382">
        <f>IF(A382&lt;&gt;"", NF!B380, "")</f>
        <v/>
      </c>
      <c r="C382">
        <f>IF(A382&lt;&gt;"", NF!C380, "")</f>
        <v/>
      </c>
      <c r="D382">
        <f>IF(A382&lt;&gt;"", NF!D380, "")</f>
        <v/>
      </c>
      <c r="E382">
        <f>IF(A382&lt;&gt;"", XLOOKUP(A382, Extrato!$D:$D, Extrato!$A:$A, ""), "")</f>
        <v/>
      </c>
      <c r="F382">
        <f>IF(A382&lt;&gt;"", XLOOKUP(A382, Extrato!$D:$D, Extrato!$B:$B, ""), "")</f>
        <v/>
      </c>
      <c r="G382">
        <f>IF(A382&lt;&gt;"", XLOOKUP(A382, Extrato!$D:$D, Extrato!$C:$C, ""), "")</f>
        <v/>
      </c>
      <c r="H382">
        <f>IF(A382="", "", IF(E382="", "Pendente", IF(C382=G382, "OK", "Valor divergente")))</f>
        <v/>
      </c>
    </row>
    <row r="383">
      <c r="A383">
        <f>IF(NF!A381&lt;&gt;"", NF!A381, "")</f>
        <v/>
      </c>
      <c r="B383">
        <f>IF(A383&lt;&gt;"", NF!B381, "")</f>
        <v/>
      </c>
      <c r="C383">
        <f>IF(A383&lt;&gt;"", NF!C381, "")</f>
        <v/>
      </c>
      <c r="D383">
        <f>IF(A383&lt;&gt;"", NF!D381, "")</f>
        <v/>
      </c>
      <c r="E383">
        <f>IF(A383&lt;&gt;"", XLOOKUP(A383, Extrato!$D:$D, Extrato!$A:$A, ""), "")</f>
        <v/>
      </c>
      <c r="F383">
        <f>IF(A383&lt;&gt;"", XLOOKUP(A383, Extrato!$D:$D, Extrato!$B:$B, ""), "")</f>
        <v/>
      </c>
      <c r="G383">
        <f>IF(A383&lt;&gt;"", XLOOKUP(A383, Extrato!$D:$D, Extrato!$C:$C, ""), "")</f>
        <v/>
      </c>
      <c r="H383">
        <f>IF(A383="", "", IF(E383="", "Pendente", IF(C383=G383, "OK", "Valor divergente")))</f>
        <v/>
      </c>
    </row>
    <row r="384">
      <c r="A384">
        <f>IF(NF!A382&lt;&gt;"", NF!A382, "")</f>
        <v/>
      </c>
      <c r="B384">
        <f>IF(A384&lt;&gt;"", NF!B382, "")</f>
        <v/>
      </c>
      <c r="C384">
        <f>IF(A384&lt;&gt;"", NF!C382, "")</f>
        <v/>
      </c>
      <c r="D384">
        <f>IF(A384&lt;&gt;"", NF!D382, "")</f>
        <v/>
      </c>
      <c r="E384">
        <f>IF(A384&lt;&gt;"", XLOOKUP(A384, Extrato!$D:$D, Extrato!$A:$A, ""), "")</f>
        <v/>
      </c>
      <c r="F384">
        <f>IF(A384&lt;&gt;"", XLOOKUP(A384, Extrato!$D:$D, Extrato!$B:$B, ""), "")</f>
        <v/>
      </c>
      <c r="G384">
        <f>IF(A384&lt;&gt;"", XLOOKUP(A384, Extrato!$D:$D, Extrato!$C:$C, ""), "")</f>
        <v/>
      </c>
      <c r="H384">
        <f>IF(A384="", "", IF(E384="", "Pendente", IF(C384=G384, "OK", "Valor divergente")))</f>
        <v/>
      </c>
    </row>
    <row r="385">
      <c r="A385">
        <f>IF(NF!A383&lt;&gt;"", NF!A383, "")</f>
        <v/>
      </c>
      <c r="B385">
        <f>IF(A385&lt;&gt;"", NF!B383, "")</f>
        <v/>
      </c>
      <c r="C385">
        <f>IF(A385&lt;&gt;"", NF!C383, "")</f>
        <v/>
      </c>
      <c r="D385">
        <f>IF(A385&lt;&gt;"", NF!D383, "")</f>
        <v/>
      </c>
      <c r="E385">
        <f>IF(A385&lt;&gt;"", XLOOKUP(A385, Extrato!$D:$D, Extrato!$A:$A, ""), "")</f>
        <v/>
      </c>
      <c r="F385">
        <f>IF(A385&lt;&gt;"", XLOOKUP(A385, Extrato!$D:$D, Extrato!$B:$B, ""), "")</f>
        <v/>
      </c>
      <c r="G385">
        <f>IF(A385&lt;&gt;"", XLOOKUP(A385, Extrato!$D:$D, Extrato!$C:$C, ""), "")</f>
        <v/>
      </c>
      <c r="H385">
        <f>IF(A385="", "", IF(E385="", "Pendente", IF(C385=G385, "OK", "Valor divergente")))</f>
        <v/>
      </c>
    </row>
    <row r="386">
      <c r="A386">
        <f>IF(NF!A384&lt;&gt;"", NF!A384, "")</f>
        <v/>
      </c>
      <c r="B386">
        <f>IF(A386&lt;&gt;"", NF!B384, "")</f>
        <v/>
      </c>
      <c r="C386">
        <f>IF(A386&lt;&gt;"", NF!C384, "")</f>
        <v/>
      </c>
      <c r="D386">
        <f>IF(A386&lt;&gt;"", NF!D384, "")</f>
        <v/>
      </c>
      <c r="E386">
        <f>IF(A386&lt;&gt;"", XLOOKUP(A386, Extrato!$D:$D, Extrato!$A:$A, ""), "")</f>
        <v/>
      </c>
      <c r="F386">
        <f>IF(A386&lt;&gt;"", XLOOKUP(A386, Extrato!$D:$D, Extrato!$B:$B, ""), "")</f>
        <v/>
      </c>
      <c r="G386">
        <f>IF(A386&lt;&gt;"", XLOOKUP(A386, Extrato!$D:$D, Extrato!$C:$C, ""), "")</f>
        <v/>
      </c>
      <c r="H386">
        <f>IF(A386="", "", IF(E386="", "Pendente", IF(C386=G386, "OK", "Valor divergente")))</f>
        <v/>
      </c>
    </row>
    <row r="387">
      <c r="A387">
        <f>IF(NF!A385&lt;&gt;"", NF!A385, "")</f>
        <v/>
      </c>
      <c r="B387">
        <f>IF(A387&lt;&gt;"", NF!B385, "")</f>
        <v/>
      </c>
      <c r="C387">
        <f>IF(A387&lt;&gt;"", NF!C385, "")</f>
        <v/>
      </c>
      <c r="D387">
        <f>IF(A387&lt;&gt;"", NF!D385, "")</f>
        <v/>
      </c>
      <c r="E387">
        <f>IF(A387&lt;&gt;"", XLOOKUP(A387, Extrato!$D:$D, Extrato!$A:$A, ""), "")</f>
        <v/>
      </c>
      <c r="F387">
        <f>IF(A387&lt;&gt;"", XLOOKUP(A387, Extrato!$D:$D, Extrato!$B:$B, ""), "")</f>
        <v/>
      </c>
      <c r="G387">
        <f>IF(A387&lt;&gt;"", XLOOKUP(A387, Extrato!$D:$D, Extrato!$C:$C, ""), "")</f>
        <v/>
      </c>
      <c r="H387">
        <f>IF(A387="", "", IF(E387="", "Pendente", IF(C387=G387, "OK", "Valor divergente")))</f>
        <v/>
      </c>
    </row>
    <row r="388">
      <c r="A388">
        <f>IF(NF!A386&lt;&gt;"", NF!A386, "")</f>
        <v/>
      </c>
      <c r="B388">
        <f>IF(A388&lt;&gt;"", NF!B386, "")</f>
        <v/>
      </c>
      <c r="C388">
        <f>IF(A388&lt;&gt;"", NF!C386, "")</f>
        <v/>
      </c>
      <c r="D388">
        <f>IF(A388&lt;&gt;"", NF!D386, "")</f>
        <v/>
      </c>
      <c r="E388">
        <f>IF(A388&lt;&gt;"", XLOOKUP(A388, Extrato!$D:$D, Extrato!$A:$A, ""), "")</f>
        <v/>
      </c>
      <c r="F388">
        <f>IF(A388&lt;&gt;"", XLOOKUP(A388, Extrato!$D:$D, Extrato!$B:$B, ""), "")</f>
        <v/>
      </c>
      <c r="G388">
        <f>IF(A388&lt;&gt;"", XLOOKUP(A388, Extrato!$D:$D, Extrato!$C:$C, ""), "")</f>
        <v/>
      </c>
      <c r="H388">
        <f>IF(A388="", "", IF(E388="", "Pendente", IF(C388=G388, "OK", "Valor divergente")))</f>
        <v/>
      </c>
    </row>
    <row r="389">
      <c r="A389">
        <f>IF(NF!A387&lt;&gt;"", NF!A387, "")</f>
        <v/>
      </c>
      <c r="B389">
        <f>IF(A389&lt;&gt;"", NF!B387, "")</f>
        <v/>
      </c>
      <c r="C389">
        <f>IF(A389&lt;&gt;"", NF!C387, "")</f>
        <v/>
      </c>
      <c r="D389">
        <f>IF(A389&lt;&gt;"", NF!D387, "")</f>
        <v/>
      </c>
      <c r="E389">
        <f>IF(A389&lt;&gt;"", XLOOKUP(A389, Extrato!$D:$D, Extrato!$A:$A, ""), "")</f>
        <v/>
      </c>
      <c r="F389">
        <f>IF(A389&lt;&gt;"", XLOOKUP(A389, Extrato!$D:$D, Extrato!$B:$B, ""), "")</f>
        <v/>
      </c>
      <c r="G389">
        <f>IF(A389&lt;&gt;"", XLOOKUP(A389, Extrato!$D:$D, Extrato!$C:$C, ""), "")</f>
        <v/>
      </c>
      <c r="H389">
        <f>IF(A389="", "", IF(E389="", "Pendente", IF(C389=G389, "OK", "Valor divergente")))</f>
        <v/>
      </c>
    </row>
    <row r="390">
      <c r="A390">
        <f>IF(NF!A388&lt;&gt;"", NF!A388, "")</f>
        <v/>
      </c>
      <c r="B390">
        <f>IF(A390&lt;&gt;"", NF!B388, "")</f>
        <v/>
      </c>
      <c r="C390">
        <f>IF(A390&lt;&gt;"", NF!C388, "")</f>
        <v/>
      </c>
      <c r="D390">
        <f>IF(A390&lt;&gt;"", NF!D388, "")</f>
        <v/>
      </c>
      <c r="E390">
        <f>IF(A390&lt;&gt;"", XLOOKUP(A390, Extrato!$D:$D, Extrato!$A:$A, ""), "")</f>
        <v/>
      </c>
      <c r="F390">
        <f>IF(A390&lt;&gt;"", XLOOKUP(A390, Extrato!$D:$D, Extrato!$B:$B, ""), "")</f>
        <v/>
      </c>
      <c r="G390">
        <f>IF(A390&lt;&gt;"", XLOOKUP(A390, Extrato!$D:$D, Extrato!$C:$C, ""), "")</f>
        <v/>
      </c>
      <c r="H390">
        <f>IF(A390="", "", IF(E390="", "Pendente", IF(C390=G390, "OK", "Valor divergente")))</f>
        <v/>
      </c>
    </row>
    <row r="391">
      <c r="A391">
        <f>IF(NF!A389&lt;&gt;"", NF!A389, "")</f>
        <v/>
      </c>
      <c r="B391">
        <f>IF(A391&lt;&gt;"", NF!B389, "")</f>
        <v/>
      </c>
      <c r="C391">
        <f>IF(A391&lt;&gt;"", NF!C389, "")</f>
        <v/>
      </c>
      <c r="D391">
        <f>IF(A391&lt;&gt;"", NF!D389, "")</f>
        <v/>
      </c>
      <c r="E391">
        <f>IF(A391&lt;&gt;"", XLOOKUP(A391, Extrato!$D:$D, Extrato!$A:$A, ""), "")</f>
        <v/>
      </c>
      <c r="F391">
        <f>IF(A391&lt;&gt;"", XLOOKUP(A391, Extrato!$D:$D, Extrato!$B:$B, ""), "")</f>
        <v/>
      </c>
      <c r="G391">
        <f>IF(A391&lt;&gt;"", XLOOKUP(A391, Extrato!$D:$D, Extrato!$C:$C, ""), "")</f>
        <v/>
      </c>
      <c r="H391">
        <f>IF(A391="", "", IF(E391="", "Pendente", IF(C391=G391, "OK", "Valor divergente")))</f>
        <v/>
      </c>
    </row>
    <row r="392">
      <c r="A392">
        <f>IF(NF!A390&lt;&gt;"", NF!A390, "")</f>
        <v/>
      </c>
      <c r="B392">
        <f>IF(A392&lt;&gt;"", NF!B390, "")</f>
        <v/>
      </c>
      <c r="C392">
        <f>IF(A392&lt;&gt;"", NF!C390, "")</f>
        <v/>
      </c>
      <c r="D392">
        <f>IF(A392&lt;&gt;"", NF!D390, "")</f>
        <v/>
      </c>
      <c r="E392">
        <f>IF(A392&lt;&gt;"", XLOOKUP(A392, Extrato!$D:$D, Extrato!$A:$A, ""), "")</f>
        <v/>
      </c>
      <c r="F392">
        <f>IF(A392&lt;&gt;"", XLOOKUP(A392, Extrato!$D:$D, Extrato!$B:$B, ""), "")</f>
        <v/>
      </c>
      <c r="G392">
        <f>IF(A392&lt;&gt;"", XLOOKUP(A392, Extrato!$D:$D, Extrato!$C:$C, ""), "")</f>
        <v/>
      </c>
      <c r="H392">
        <f>IF(A392="", "", IF(E392="", "Pendente", IF(C392=G392, "OK", "Valor divergente")))</f>
        <v/>
      </c>
    </row>
    <row r="393">
      <c r="A393">
        <f>IF(NF!A391&lt;&gt;"", NF!A391, "")</f>
        <v/>
      </c>
      <c r="B393">
        <f>IF(A393&lt;&gt;"", NF!B391, "")</f>
        <v/>
      </c>
      <c r="C393">
        <f>IF(A393&lt;&gt;"", NF!C391, "")</f>
        <v/>
      </c>
      <c r="D393">
        <f>IF(A393&lt;&gt;"", NF!D391, "")</f>
        <v/>
      </c>
      <c r="E393">
        <f>IF(A393&lt;&gt;"", XLOOKUP(A393, Extrato!$D:$D, Extrato!$A:$A, ""), "")</f>
        <v/>
      </c>
      <c r="F393">
        <f>IF(A393&lt;&gt;"", XLOOKUP(A393, Extrato!$D:$D, Extrato!$B:$B, ""), "")</f>
        <v/>
      </c>
      <c r="G393">
        <f>IF(A393&lt;&gt;"", XLOOKUP(A393, Extrato!$D:$D, Extrato!$C:$C, ""), "")</f>
        <v/>
      </c>
      <c r="H393">
        <f>IF(A393="", "", IF(E393="", "Pendente", IF(C393=G393, "OK", "Valor divergente")))</f>
        <v/>
      </c>
    </row>
    <row r="394">
      <c r="A394">
        <f>IF(NF!A392&lt;&gt;"", NF!A392, "")</f>
        <v/>
      </c>
      <c r="B394">
        <f>IF(A394&lt;&gt;"", NF!B392, "")</f>
        <v/>
      </c>
      <c r="C394">
        <f>IF(A394&lt;&gt;"", NF!C392, "")</f>
        <v/>
      </c>
      <c r="D394">
        <f>IF(A394&lt;&gt;"", NF!D392, "")</f>
        <v/>
      </c>
      <c r="E394">
        <f>IF(A394&lt;&gt;"", XLOOKUP(A394, Extrato!$D:$D, Extrato!$A:$A, ""), "")</f>
        <v/>
      </c>
      <c r="F394">
        <f>IF(A394&lt;&gt;"", XLOOKUP(A394, Extrato!$D:$D, Extrato!$B:$B, ""), "")</f>
        <v/>
      </c>
      <c r="G394">
        <f>IF(A394&lt;&gt;"", XLOOKUP(A394, Extrato!$D:$D, Extrato!$C:$C, ""), "")</f>
        <v/>
      </c>
      <c r="H394">
        <f>IF(A394="", "", IF(E394="", "Pendente", IF(C394=G394, "OK", "Valor divergente")))</f>
        <v/>
      </c>
    </row>
    <row r="395">
      <c r="A395">
        <f>IF(NF!A393&lt;&gt;"", NF!A393, "")</f>
        <v/>
      </c>
      <c r="B395">
        <f>IF(A395&lt;&gt;"", NF!B393, "")</f>
        <v/>
      </c>
      <c r="C395">
        <f>IF(A395&lt;&gt;"", NF!C393, "")</f>
        <v/>
      </c>
      <c r="D395">
        <f>IF(A395&lt;&gt;"", NF!D393, "")</f>
        <v/>
      </c>
      <c r="E395">
        <f>IF(A395&lt;&gt;"", XLOOKUP(A395, Extrato!$D:$D, Extrato!$A:$A, ""), "")</f>
        <v/>
      </c>
      <c r="F395">
        <f>IF(A395&lt;&gt;"", XLOOKUP(A395, Extrato!$D:$D, Extrato!$B:$B, ""), "")</f>
        <v/>
      </c>
      <c r="G395">
        <f>IF(A395&lt;&gt;"", XLOOKUP(A395, Extrato!$D:$D, Extrato!$C:$C, ""), "")</f>
        <v/>
      </c>
      <c r="H395">
        <f>IF(A395="", "", IF(E395="", "Pendente", IF(C395=G395, "OK", "Valor divergente")))</f>
        <v/>
      </c>
    </row>
    <row r="396">
      <c r="A396">
        <f>IF(NF!A394&lt;&gt;"", NF!A394, "")</f>
        <v/>
      </c>
      <c r="B396">
        <f>IF(A396&lt;&gt;"", NF!B394, "")</f>
        <v/>
      </c>
      <c r="C396">
        <f>IF(A396&lt;&gt;"", NF!C394, "")</f>
        <v/>
      </c>
      <c r="D396">
        <f>IF(A396&lt;&gt;"", NF!D394, "")</f>
        <v/>
      </c>
      <c r="E396">
        <f>IF(A396&lt;&gt;"", XLOOKUP(A396, Extrato!$D:$D, Extrato!$A:$A, ""), "")</f>
        <v/>
      </c>
      <c r="F396">
        <f>IF(A396&lt;&gt;"", XLOOKUP(A396, Extrato!$D:$D, Extrato!$B:$B, ""), "")</f>
        <v/>
      </c>
      <c r="G396">
        <f>IF(A396&lt;&gt;"", XLOOKUP(A396, Extrato!$D:$D, Extrato!$C:$C, ""), "")</f>
        <v/>
      </c>
      <c r="H396">
        <f>IF(A396="", "", IF(E396="", "Pendente", IF(C396=G396, "OK", "Valor divergente")))</f>
        <v/>
      </c>
    </row>
    <row r="397">
      <c r="A397">
        <f>IF(NF!A395&lt;&gt;"", NF!A395, "")</f>
        <v/>
      </c>
      <c r="B397">
        <f>IF(A397&lt;&gt;"", NF!B395, "")</f>
        <v/>
      </c>
      <c r="C397">
        <f>IF(A397&lt;&gt;"", NF!C395, "")</f>
        <v/>
      </c>
      <c r="D397">
        <f>IF(A397&lt;&gt;"", NF!D395, "")</f>
        <v/>
      </c>
      <c r="E397">
        <f>IF(A397&lt;&gt;"", XLOOKUP(A397, Extrato!$D:$D, Extrato!$A:$A, ""), "")</f>
        <v/>
      </c>
      <c r="F397">
        <f>IF(A397&lt;&gt;"", XLOOKUP(A397, Extrato!$D:$D, Extrato!$B:$B, ""), "")</f>
        <v/>
      </c>
      <c r="G397">
        <f>IF(A397&lt;&gt;"", XLOOKUP(A397, Extrato!$D:$D, Extrato!$C:$C, ""), "")</f>
        <v/>
      </c>
      <c r="H397">
        <f>IF(A397="", "", IF(E397="", "Pendente", IF(C397=G397, "OK", "Valor divergente")))</f>
        <v/>
      </c>
    </row>
    <row r="398">
      <c r="A398">
        <f>IF(NF!A396&lt;&gt;"", NF!A396, "")</f>
        <v/>
      </c>
      <c r="B398">
        <f>IF(A398&lt;&gt;"", NF!B396, "")</f>
        <v/>
      </c>
      <c r="C398">
        <f>IF(A398&lt;&gt;"", NF!C396, "")</f>
        <v/>
      </c>
      <c r="D398">
        <f>IF(A398&lt;&gt;"", NF!D396, "")</f>
        <v/>
      </c>
      <c r="E398">
        <f>IF(A398&lt;&gt;"", XLOOKUP(A398, Extrato!$D:$D, Extrato!$A:$A, ""), "")</f>
        <v/>
      </c>
      <c r="F398">
        <f>IF(A398&lt;&gt;"", XLOOKUP(A398, Extrato!$D:$D, Extrato!$B:$B, ""), "")</f>
        <v/>
      </c>
      <c r="G398">
        <f>IF(A398&lt;&gt;"", XLOOKUP(A398, Extrato!$D:$D, Extrato!$C:$C, ""), "")</f>
        <v/>
      </c>
      <c r="H398">
        <f>IF(A398="", "", IF(E398="", "Pendente", IF(C398=G398, "OK", "Valor divergente")))</f>
        <v/>
      </c>
    </row>
    <row r="399">
      <c r="A399">
        <f>IF(NF!A397&lt;&gt;"", NF!A397, "")</f>
        <v/>
      </c>
      <c r="B399">
        <f>IF(A399&lt;&gt;"", NF!B397, "")</f>
        <v/>
      </c>
      <c r="C399">
        <f>IF(A399&lt;&gt;"", NF!C397, "")</f>
        <v/>
      </c>
      <c r="D399">
        <f>IF(A399&lt;&gt;"", NF!D397, "")</f>
        <v/>
      </c>
      <c r="E399">
        <f>IF(A399&lt;&gt;"", XLOOKUP(A399, Extrato!$D:$D, Extrato!$A:$A, ""), "")</f>
        <v/>
      </c>
      <c r="F399">
        <f>IF(A399&lt;&gt;"", XLOOKUP(A399, Extrato!$D:$D, Extrato!$B:$B, ""), "")</f>
        <v/>
      </c>
      <c r="G399">
        <f>IF(A399&lt;&gt;"", XLOOKUP(A399, Extrato!$D:$D, Extrato!$C:$C, ""), "")</f>
        <v/>
      </c>
      <c r="H399">
        <f>IF(A399="", "", IF(E399="", "Pendente", IF(C399=G399, "OK", "Valor divergente")))</f>
        <v/>
      </c>
    </row>
    <row r="400">
      <c r="A400">
        <f>IF(NF!A398&lt;&gt;"", NF!A398, "")</f>
        <v/>
      </c>
      <c r="B400">
        <f>IF(A400&lt;&gt;"", NF!B398, "")</f>
        <v/>
      </c>
      <c r="C400">
        <f>IF(A400&lt;&gt;"", NF!C398, "")</f>
        <v/>
      </c>
      <c r="D400">
        <f>IF(A400&lt;&gt;"", NF!D398, "")</f>
        <v/>
      </c>
      <c r="E400">
        <f>IF(A400&lt;&gt;"", XLOOKUP(A400, Extrato!$D:$D, Extrato!$A:$A, ""), "")</f>
        <v/>
      </c>
      <c r="F400">
        <f>IF(A400&lt;&gt;"", XLOOKUP(A400, Extrato!$D:$D, Extrato!$B:$B, ""), "")</f>
        <v/>
      </c>
      <c r="G400">
        <f>IF(A400&lt;&gt;"", XLOOKUP(A400, Extrato!$D:$D, Extrato!$C:$C, ""), "")</f>
        <v/>
      </c>
      <c r="H400">
        <f>IF(A400="", "", IF(E400="", "Pendente", IF(C400=G400, "OK", "Valor divergente")))</f>
        <v/>
      </c>
    </row>
    <row r="401">
      <c r="A401">
        <f>IF(NF!A399&lt;&gt;"", NF!A399, "")</f>
        <v/>
      </c>
      <c r="B401">
        <f>IF(A401&lt;&gt;"", NF!B399, "")</f>
        <v/>
      </c>
      <c r="C401">
        <f>IF(A401&lt;&gt;"", NF!C399, "")</f>
        <v/>
      </c>
      <c r="D401">
        <f>IF(A401&lt;&gt;"", NF!D399, "")</f>
        <v/>
      </c>
      <c r="E401">
        <f>IF(A401&lt;&gt;"", XLOOKUP(A401, Extrato!$D:$D, Extrato!$A:$A, ""), "")</f>
        <v/>
      </c>
      <c r="F401">
        <f>IF(A401&lt;&gt;"", XLOOKUP(A401, Extrato!$D:$D, Extrato!$B:$B, ""), "")</f>
        <v/>
      </c>
      <c r="G401">
        <f>IF(A401&lt;&gt;"", XLOOKUP(A401, Extrato!$D:$D, Extrato!$C:$C, ""), "")</f>
        <v/>
      </c>
      <c r="H401">
        <f>IF(A401="", "", IF(E401="", "Pendente", IF(C401=G401, "OK", "Valor divergente")))</f>
        <v/>
      </c>
    </row>
    <row r="402">
      <c r="A402">
        <f>IF(NF!A400&lt;&gt;"", NF!A400, "")</f>
        <v/>
      </c>
      <c r="B402">
        <f>IF(A402&lt;&gt;"", NF!B400, "")</f>
        <v/>
      </c>
      <c r="C402">
        <f>IF(A402&lt;&gt;"", NF!C400, "")</f>
        <v/>
      </c>
      <c r="D402">
        <f>IF(A402&lt;&gt;"", NF!D400, "")</f>
        <v/>
      </c>
      <c r="E402">
        <f>IF(A402&lt;&gt;"", XLOOKUP(A402, Extrato!$D:$D, Extrato!$A:$A, ""), "")</f>
        <v/>
      </c>
      <c r="F402">
        <f>IF(A402&lt;&gt;"", XLOOKUP(A402, Extrato!$D:$D, Extrato!$B:$B, ""), "")</f>
        <v/>
      </c>
      <c r="G402">
        <f>IF(A402&lt;&gt;"", XLOOKUP(A402, Extrato!$D:$D, Extrato!$C:$C, ""), "")</f>
        <v/>
      </c>
      <c r="H402">
        <f>IF(A402="", "", IF(E402="", "Pendente", IF(C402=G402, "OK", "Valor divergente")))</f>
        <v/>
      </c>
    </row>
    <row r="403">
      <c r="A403">
        <f>IF(NF!A401&lt;&gt;"", NF!A401, "")</f>
        <v/>
      </c>
      <c r="B403">
        <f>IF(A403&lt;&gt;"", NF!B401, "")</f>
        <v/>
      </c>
      <c r="C403">
        <f>IF(A403&lt;&gt;"", NF!C401, "")</f>
        <v/>
      </c>
      <c r="D403">
        <f>IF(A403&lt;&gt;"", NF!D401, "")</f>
        <v/>
      </c>
      <c r="E403">
        <f>IF(A403&lt;&gt;"", XLOOKUP(A403, Extrato!$D:$D, Extrato!$A:$A, ""), "")</f>
        <v/>
      </c>
      <c r="F403">
        <f>IF(A403&lt;&gt;"", XLOOKUP(A403, Extrato!$D:$D, Extrato!$B:$B, ""), "")</f>
        <v/>
      </c>
      <c r="G403">
        <f>IF(A403&lt;&gt;"", XLOOKUP(A403, Extrato!$D:$D, Extrato!$C:$C, ""), "")</f>
        <v/>
      </c>
      <c r="H403">
        <f>IF(A403="", "", IF(E403="", "Pendente", IF(C403=G403, "OK", "Valor divergente")))</f>
        <v/>
      </c>
    </row>
    <row r="404">
      <c r="A404">
        <f>IF(NF!A402&lt;&gt;"", NF!A402, "")</f>
        <v/>
      </c>
      <c r="B404">
        <f>IF(A404&lt;&gt;"", NF!B402, "")</f>
        <v/>
      </c>
      <c r="C404">
        <f>IF(A404&lt;&gt;"", NF!C402, "")</f>
        <v/>
      </c>
      <c r="D404">
        <f>IF(A404&lt;&gt;"", NF!D402, "")</f>
        <v/>
      </c>
      <c r="E404">
        <f>IF(A404&lt;&gt;"", XLOOKUP(A404, Extrato!$D:$D, Extrato!$A:$A, ""), "")</f>
        <v/>
      </c>
      <c r="F404">
        <f>IF(A404&lt;&gt;"", XLOOKUP(A404, Extrato!$D:$D, Extrato!$B:$B, ""), "")</f>
        <v/>
      </c>
      <c r="G404">
        <f>IF(A404&lt;&gt;"", XLOOKUP(A404, Extrato!$D:$D, Extrato!$C:$C, ""), "")</f>
        <v/>
      </c>
      <c r="H404">
        <f>IF(A404="", "", IF(E404="", "Pendente", IF(C404=G404, "OK", "Valor divergente")))</f>
        <v/>
      </c>
    </row>
    <row r="405">
      <c r="A405">
        <f>IF(NF!A403&lt;&gt;"", NF!A403, "")</f>
        <v/>
      </c>
      <c r="B405">
        <f>IF(A405&lt;&gt;"", NF!B403, "")</f>
        <v/>
      </c>
      <c r="C405">
        <f>IF(A405&lt;&gt;"", NF!C403, "")</f>
        <v/>
      </c>
      <c r="D405">
        <f>IF(A405&lt;&gt;"", NF!D403, "")</f>
        <v/>
      </c>
      <c r="E405">
        <f>IF(A405&lt;&gt;"", XLOOKUP(A405, Extrato!$D:$D, Extrato!$A:$A, ""), "")</f>
        <v/>
      </c>
      <c r="F405">
        <f>IF(A405&lt;&gt;"", XLOOKUP(A405, Extrato!$D:$D, Extrato!$B:$B, ""), "")</f>
        <v/>
      </c>
      <c r="G405">
        <f>IF(A405&lt;&gt;"", XLOOKUP(A405, Extrato!$D:$D, Extrato!$C:$C, ""), "")</f>
        <v/>
      </c>
      <c r="H405">
        <f>IF(A405="", "", IF(E405="", "Pendente", IF(C405=G405, "OK", "Valor divergente")))</f>
        <v/>
      </c>
    </row>
    <row r="406">
      <c r="A406">
        <f>IF(NF!A404&lt;&gt;"", NF!A404, "")</f>
        <v/>
      </c>
      <c r="B406">
        <f>IF(A406&lt;&gt;"", NF!B404, "")</f>
        <v/>
      </c>
      <c r="C406">
        <f>IF(A406&lt;&gt;"", NF!C404, "")</f>
        <v/>
      </c>
      <c r="D406">
        <f>IF(A406&lt;&gt;"", NF!D404, "")</f>
        <v/>
      </c>
      <c r="E406">
        <f>IF(A406&lt;&gt;"", XLOOKUP(A406, Extrato!$D:$D, Extrato!$A:$A, ""), "")</f>
        <v/>
      </c>
      <c r="F406">
        <f>IF(A406&lt;&gt;"", XLOOKUP(A406, Extrato!$D:$D, Extrato!$B:$B, ""), "")</f>
        <v/>
      </c>
      <c r="G406">
        <f>IF(A406&lt;&gt;"", XLOOKUP(A406, Extrato!$D:$D, Extrato!$C:$C, ""), "")</f>
        <v/>
      </c>
      <c r="H406">
        <f>IF(A406="", "", IF(E406="", "Pendente", IF(C406=G406, "OK", "Valor divergente")))</f>
        <v/>
      </c>
    </row>
    <row r="407">
      <c r="A407">
        <f>IF(NF!A405&lt;&gt;"", NF!A405, "")</f>
        <v/>
      </c>
      <c r="B407">
        <f>IF(A407&lt;&gt;"", NF!B405, "")</f>
        <v/>
      </c>
      <c r="C407">
        <f>IF(A407&lt;&gt;"", NF!C405, "")</f>
        <v/>
      </c>
      <c r="D407">
        <f>IF(A407&lt;&gt;"", NF!D405, "")</f>
        <v/>
      </c>
      <c r="E407">
        <f>IF(A407&lt;&gt;"", XLOOKUP(A407, Extrato!$D:$D, Extrato!$A:$A, ""), "")</f>
        <v/>
      </c>
      <c r="F407">
        <f>IF(A407&lt;&gt;"", XLOOKUP(A407, Extrato!$D:$D, Extrato!$B:$B, ""), "")</f>
        <v/>
      </c>
      <c r="G407">
        <f>IF(A407&lt;&gt;"", XLOOKUP(A407, Extrato!$D:$D, Extrato!$C:$C, ""), "")</f>
        <v/>
      </c>
      <c r="H407">
        <f>IF(A407="", "", IF(E407="", "Pendente", IF(C407=G407, "OK", "Valor divergente")))</f>
        <v/>
      </c>
    </row>
    <row r="408">
      <c r="A408">
        <f>IF(NF!A406&lt;&gt;"", NF!A406, "")</f>
        <v/>
      </c>
      <c r="B408">
        <f>IF(A408&lt;&gt;"", NF!B406, "")</f>
        <v/>
      </c>
      <c r="C408">
        <f>IF(A408&lt;&gt;"", NF!C406, "")</f>
        <v/>
      </c>
      <c r="D408">
        <f>IF(A408&lt;&gt;"", NF!D406, "")</f>
        <v/>
      </c>
      <c r="E408">
        <f>IF(A408&lt;&gt;"", XLOOKUP(A408, Extrato!$D:$D, Extrato!$A:$A, ""), "")</f>
        <v/>
      </c>
      <c r="F408">
        <f>IF(A408&lt;&gt;"", XLOOKUP(A408, Extrato!$D:$D, Extrato!$B:$B, ""), "")</f>
        <v/>
      </c>
      <c r="G408">
        <f>IF(A408&lt;&gt;"", XLOOKUP(A408, Extrato!$D:$D, Extrato!$C:$C, ""), "")</f>
        <v/>
      </c>
      <c r="H408">
        <f>IF(A408="", "", IF(E408="", "Pendente", IF(C408=G408, "OK", "Valor divergente")))</f>
        <v/>
      </c>
    </row>
    <row r="409">
      <c r="A409">
        <f>IF(NF!A407&lt;&gt;"", NF!A407, "")</f>
        <v/>
      </c>
      <c r="B409">
        <f>IF(A409&lt;&gt;"", NF!B407, "")</f>
        <v/>
      </c>
      <c r="C409">
        <f>IF(A409&lt;&gt;"", NF!C407, "")</f>
        <v/>
      </c>
      <c r="D409">
        <f>IF(A409&lt;&gt;"", NF!D407, "")</f>
        <v/>
      </c>
      <c r="E409">
        <f>IF(A409&lt;&gt;"", XLOOKUP(A409, Extrato!$D:$D, Extrato!$A:$A, ""), "")</f>
        <v/>
      </c>
      <c r="F409">
        <f>IF(A409&lt;&gt;"", XLOOKUP(A409, Extrato!$D:$D, Extrato!$B:$B, ""), "")</f>
        <v/>
      </c>
      <c r="G409">
        <f>IF(A409&lt;&gt;"", XLOOKUP(A409, Extrato!$D:$D, Extrato!$C:$C, ""), "")</f>
        <v/>
      </c>
      <c r="H409">
        <f>IF(A409="", "", IF(E409="", "Pendente", IF(C409=G409, "OK", "Valor divergente")))</f>
        <v/>
      </c>
    </row>
    <row r="410">
      <c r="A410">
        <f>IF(NF!A408&lt;&gt;"", NF!A408, "")</f>
        <v/>
      </c>
      <c r="B410">
        <f>IF(A410&lt;&gt;"", NF!B408, "")</f>
        <v/>
      </c>
      <c r="C410">
        <f>IF(A410&lt;&gt;"", NF!C408, "")</f>
        <v/>
      </c>
      <c r="D410">
        <f>IF(A410&lt;&gt;"", NF!D408, "")</f>
        <v/>
      </c>
      <c r="E410">
        <f>IF(A410&lt;&gt;"", XLOOKUP(A410, Extrato!$D:$D, Extrato!$A:$A, ""), "")</f>
        <v/>
      </c>
      <c r="F410">
        <f>IF(A410&lt;&gt;"", XLOOKUP(A410, Extrato!$D:$D, Extrato!$B:$B, ""), "")</f>
        <v/>
      </c>
      <c r="G410">
        <f>IF(A410&lt;&gt;"", XLOOKUP(A410, Extrato!$D:$D, Extrato!$C:$C, ""), "")</f>
        <v/>
      </c>
      <c r="H410">
        <f>IF(A410="", "", IF(E410="", "Pendente", IF(C410=G410, "OK", "Valor divergente")))</f>
        <v/>
      </c>
    </row>
    <row r="411">
      <c r="A411">
        <f>IF(NF!A409&lt;&gt;"", NF!A409, "")</f>
        <v/>
      </c>
      <c r="B411">
        <f>IF(A411&lt;&gt;"", NF!B409, "")</f>
        <v/>
      </c>
      <c r="C411">
        <f>IF(A411&lt;&gt;"", NF!C409, "")</f>
        <v/>
      </c>
      <c r="D411">
        <f>IF(A411&lt;&gt;"", NF!D409, "")</f>
        <v/>
      </c>
      <c r="E411">
        <f>IF(A411&lt;&gt;"", XLOOKUP(A411, Extrato!$D:$D, Extrato!$A:$A, ""), "")</f>
        <v/>
      </c>
      <c r="F411">
        <f>IF(A411&lt;&gt;"", XLOOKUP(A411, Extrato!$D:$D, Extrato!$B:$B, ""), "")</f>
        <v/>
      </c>
      <c r="G411">
        <f>IF(A411&lt;&gt;"", XLOOKUP(A411, Extrato!$D:$D, Extrato!$C:$C, ""), "")</f>
        <v/>
      </c>
      <c r="H411">
        <f>IF(A411="", "", IF(E411="", "Pendente", IF(C411=G411, "OK", "Valor divergente")))</f>
        <v/>
      </c>
    </row>
    <row r="412">
      <c r="A412">
        <f>IF(NF!A410&lt;&gt;"", NF!A410, "")</f>
        <v/>
      </c>
      <c r="B412">
        <f>IF(A412&lt;&gt;"", NF!B410, "")</f>
        <v/>
      </c>
      <c r="C412">
        <f>IF(A412&lt;&gt;"", NF!C410, "")</f>
        <v/>
      </c>
      <c r="D412">
        <f>IF(A412&lt;&gt;"", NF!D410, "")</f>
        <v/>
      </c>
      <c r="E412">
        <f>IF(A412&lt;&gt;"", XLOOKUP(A412, Extrato!$D:$D, Extrato!$A:$A, ""), "")</f>
        <v/>
      </c>
      <c r="F412">
        <f>IF(A412&lt;&gt;"", XLOOKUP(A412, Extrato!$D:$D, Extrato!$B:$B, ""), "")</f>
        <v/>
      </c>
      <c r="G412">
        <f>IF(A412&lt;&gt;"", XLOOKUP(A412, Extrato!$D:$D, Extrato!$C:$C, ""), "")</f>
        <v/>
      </c>
      <c r="H412">
        <f>IF(A412="", "", IF(E412="", "Pendente", IF(C412=G412, "OK", "Valor divergente")))</f>
        <v/>
      </c>
    </row>
    <row r="413">
      <c r="A413">
        <f>IF(NF!A411&lt;&gt;"", NF!A411, "")</f>
        <v/>
      </c>
      <c r="B413">
        <f>IF(A413&lt;&gt;"", NF!B411, "")</f>
        <v/>
      </c>
      <c r="C413">
        <f>IF(A413&lt;&gt;"", NF!C411, "")</f>
        <v/>
      </c>
      <c r="D413">
        <f>IF(A413&lt;&gt;"", NF!D411, "")</f>
        <v/>
      </c>
      <c r="E413">
        <f>IF(A413&lt;&gt;"", XLOOKUP(A413, Extrato!$D:$D, Extrato!$A:$A, ""), "")</f>
        <v/>
      </c>
      <c r="F413">
        <f>IF(A413&lt;&gt;"", XLOOKUP(A413, Extrato!$D:$D, Extrato!$B:$B, ""), "")</f>
        <v/>
      </c>
      <c r="G413">
        <f>IF(A413&lt;&gt;"", XLOOKUP(A413, Extrato!$D:$D, Extrato!$C:$C, ""), "")</f>
        <v/>
      </c>
      <c r="H413">
        <f>IF(A413="", "", IF(E413="", "Pendente", IF(C413=G413, "OK", "Valor divergente")))</f>
        <v/>
      </c>
    </row>
    <row r="414">
      <c r="A414">
        <f>IF(NF!A412&lt;&gt;"", NF!A412, "")</f>
        <v/>
      </c>
      <c r="B414">
        <f>IF(A414&lt;&gt;"", NF!B412, "")</f>
        <v/>
      </c>
      <c r="C414">
        <f>IF(A414&lt;&gt;"", NF!C412, "")</f>
        <v/>
      </c>
      <c r="D414">
        <f>IF(A414&lt;&gt;"", NF!D412, "")</f>
        <v/>
      </c>
      <c r="E414">
        <f>IF(A414&lt;&gt;"", XLOOKUP(A414, Extrato!$D:$D, Extrato!$A:$A, ""), "")</f>
        <v/>
      </c>
      <c r="F414">
        <f>IF(A414&lt;&gt;"", XLOOKUP(A414, Extrato!$D:$D, Extrato!$B:$B, ""), "")</f>
        <v/>
      </c>
      <c r="G414">
        <f>IF(A414&lt;&gt;"", XLOOKUP(A414, Extrato!$D:$D, Extrato!$C:$C, ""), "")</f>
        <v/>
      </c>
      <c r="H414">
        <f>IF(A414="", "", IF(E414="", "Pendente", IF(C414=G414, "OK", "Valor divergente")))</f>
        <v/>
      </c>
    </row>
    <row r="415">
      <c r="A415">
        <f>IF(NF!A413&lt;&gt;"", NF!A413, "")</f>
        <v/>
      </c>
      <c r="B415">
        <f>IF(A415&lt;&gt;"", NF!B413, "")</f>
        <v/>
      </c>
      <c r="C415">
        <f>IF(A415&lt;&gt;"", NF!C413, "")</f>
        <v/>
      </c>
      <c r="D415">
        <f>IF(A415&lt;&gt;"", NF!D413, "")</f>
        <v/>
      </c>
      <c r="E415">
        <f>IF(A415&lt;&gt;"", XLOOKUP(A415, Extrato!$D:$D, Extrato!$A:$A, ""), "")</f>
        <v/>
      </c>
      <c r="F415">
        <f>IF(A415&lt;&gt;"", XLOOKUP(A415, Extrato!$D:$D, Extrato!$B:$B, ""), "")</f>
        <v/>
      </c>
      <c r="G415">
        <f>IF(A415&lt;&gt;"", XLOOKUP(A415, Extrato!$D:$D, Extrato!$C:$C, ""), "")</f>
        <v/>
      </c>
      <c r="H415">
        <f>IF(A415="", "", IF(E415="", "Pendente", IF(C415=G415, "OK", "Valor divergente")))</f>
        <v/>
      </c>
    </row>
    <row r="416">
      <c r="A416">
        <f>IF(NF!A414&lt;&gt;"", NF!A414, "")</f>
        <v/>
      </c>
      <c r="B416">
        <f>IF(A416&lt;&gt;"", NF!B414, "")</f>
        <v/>
      </c>
      <c r="C416">
        <f>IF(A416&lt;&gt;"", NF!C414, "")</f>
        <v/>
      </c>
      <c r="D416">
        <f>IF(A416&lt;&gt;"", NF!D414, "")</f>
        <v/>
      </c>
      <c r="E416">
        <f>IF(A416&lt;&gt;"", XLOOKUP(A416, Extrato!$D:$D, Extrato!$A:$A, ""), "")</f>
        <v/>
      </c>
      <c r="F416">
        <f>IF(A416&lt;&gt;"", XLOOKUP(A416, Extrato!$D:$D, Extrato!$B:$B, ""), "")</f>
        <v/>
      </c>
      <c r="G416">
        <f>IF(A416&lt;&gt;"", XLOOKUP(A416, Extrato!$D:$D, Extrato!$C:$C, ""), "")</f>
        <v/>
      </c>
      <c r="H416">
        <f>IF(A416="", "", IF(E416="", "Pendente", IF(C416=G416, "OK", "Valor divergente")))</f>
        <v/>
      </c>
    </row>
    <row r="417">
      <c r="A417">
        <f>IF(NF!A415&lt;&gt;"", NF!A415, "")</f>
        <v/>
      </c>
      <c r="B417">
        <f>IF(A417&lt;&gt;"", NF!B415, "")</f>
        <v/>
      </c>
      <c r="C417">
        <f>IF(A417&lt;&gt;"", NF!C415, "")</f>
        <v/>
      </c>
      <c r="D417">
        <f>IF(A417&lt;&gt;"", NF!D415, "")</f>
        <v/>
      </c>
      <c r="E417">
        <f>IF(A417&lt;&gt;"", XLOOKUP(A417, Extrato!$D:$D, Extrato!$A:$A, ""), "")</f>
        <v/>
      </c>
      <c r="F417">
        <f>IF(A417&lt;&gt;"", XLOOKUP(A417, Extrato!$D:$D, Extrato!$B:$B, ""), "")</f>
        <v/>
      </c>
      <c r="G417">
        <f>IF(A417&lt;&gt;"", XLOOKUP(A417, Extrato!$D:$D, Extrato!$C:$C, ""), "")</f>
        <v/>
      </c>
      <c r="H417">
        <f>IF(A417="", "", IF(E417="", "Pendente", IF(C417=G417, "OK", "Valor divergente")))</f>
        <v/>
      </c>
    </row>
    <row r="418">
      <c r="A418">
        <f>IF(NF!A416&lt;&gt;"", NF!A416, "")</f>
        <v/>
      </c>
      <c r="B418">
        <f>IF(A418&lt;&gt;"", NF!B416, "")</f>
        <v/>
      </c>
      <c r="C418">
        <f>IF(A418&lt;&gt;"", NF!C416, "")</f>
        <v/>
      </c>
      <c r="D418">
        <f>IF(A418&lt;&gt;"", NF!D416, "")</f>
        <v/>
      </c>
      <c r="E418">
        <f>IF(A418&lt;&gt;"", XLOOKUP(A418, Extrato!$D:$D, Extrato!$A:$A, ""), "")</f>
        <v/>
      </c>
      <c r="F418">
        <f>IF(A418&lt;&gt;"", XLOOKUP(A418, Extrato!$D:$D, Extrato!$B:$B, ""), "")</f>
        <v/>
      </c>
      <c r="G418">
        <f>IF(A418&lt;&gt;"", XLOOKUP(A418, Extrato!$D:$D, Extrato!$C:$C, ""), "")</f>
        <v/>
      </c>
      <c r="H418">
        <f>IF(A418="", "", IF(E418="", "Pendente", IF(C418=G418, "OK", "Valor divergente")))</f>
        <v/>
      </c>
    </row>
    <row r="419">
      <c r="A419">
        <f>IF(NF!A417&lt;&gt;"", NF!A417, "")</f>
        <v/>
      </c>
      <c r="B419">
        <f>IF(A419&lt;&gt;"", NF!B417, "")</f>
        <v/>
      </c>
      <c r="C419">
        <f>IF(A419&lt;&gt;"", NF!C417, "")</f>
        <v/>
      </c>
      <c r="D419">
        <f>IF(A419&lt;&gt;"", NF!D417, "")</f>
        <v/>
      </c>
      <c r="E419">
        <f>IF(A419&lt;&gt;"", XLOOKUP(A419, Extrato!$D:$D, Extrato!$A:$A, ""), "")</f>
        <v/>
      </c>
      <c r="F419">
        <f>IF(A419&lt;&gt;"", XLOOKUP(A419, Extrato!$D:$D, Extrato!$B:$B, ""), "")</f>
        <v/>
      </c>
      <c r="G419">
        <f>IF(A419&lt;&gt;"", XLOOKUP(A419, Extrato!$D:$D, Extrato!$C:$C, ""), "")</f>
        <v/>
      </c>
      <c r="H419">
        <f>IF(A419="", "", IF(E419="", "Pendente", IF(C419=G419, "OK", "Valor divergente")))</f>
        <v/>
      </c>
    </row>
    <row r="420">
      <c r="A420">
        <f>IF(NF!A418&lt;&gt;"", NF!A418, "")</f>
        <v/>
      </c>
      <c r="B420">
        <f>IF(A420&lt;&gt;"", NF!B418, "")</f>
        <v/>
      </c>
      <c r="C420">
        <f>IF(A420&lt;&gt;"", NF!C418, "")</f>
        <v/>
      </c>
      <c r="D420">
        <f>IF(A420&lt;&gt;"", NF!D418, "")</f>
        <v/>
      </c>
      <c r="E420">
        <f>IF(A420&lt;&gt;"", XLOOKUP(A420, Extrato!$D:$D, Extrato!$A:$A, ""), "")</f>
        <v/>
      </c>
      <c r="F420">
        <f>IF(A420&lt;&gt;"", XLOOKUP(A420, Extrato!$D:$D, Extrato!$B:$B, ""), "")</f>
        <v/>
      </c>
      <c r="G420">
        <f>IF(A420&lt;&gt;"", XLOOKUP(A420, Extrato!$D:$D, Extrato!$C:$C, ""), "")</f>
        <v/>
      </c>
      <c r="H420">
        <f>IF(A420="", "", IF(E420="", "Pendente", IF(C420=G420, "OK", "Valor divergente")))</f>
        <v/>
      </c>
    </row>
    <row r="421">
      <c r="A421">
        <f>IF(NF!A419&lt;&gt;"", NF!A419, "")</f>
        <v/>
      </c>
      <c r="B421">
        <f>IF(A421&lt;&gt;"", NF!B419, "")</f>
        <v/>
      </c>
      <c r="C421">
        <f>IF(A421&lt;&gt;"", NF!C419, "")</f>
        <v/>
      </c>
      <c r="D421">
        <f>IF(A421&lt;&gt;"", NF!D419, "")</f>
        <v/>
      </c>
      <c r="E421">
        <f>IF(A421&lt;&gt;"", XLOOKUP(A421, Extrato!$D:$D, Extrato!$A:$A, ""), "")</f>
        <v/>
      </c>
      <c r="F421">
        <f>IF(A421&lt;&gt;"", XLOOKUP(A421, Extrato!$D:$D, Extrato!$B:$B, ""), "")</f>
        <v/>
      </c>
      <c r="G421">
        <f>IF(A421&lt;&gt;"", XLOOKUP(A421, Extrato!$D:$D, Extrato!$C:$C, ""), "")</f>
        <v/>
      </c>
      <c r="H421">
        <f>IF(A421="", "", IF(E421="", "Pendente", IF(C421=G421, "OK", "Valor divergente")))</f>
        <v/>
      </c>
    </row>
    <row r="422">
      <c r="A422">
        <f>IF(NF!A420&lt;&gt;"", NF!A420, "")</f>
        <v/>
      </c>
      <c r="B422">
        <f>IF(A422&lt;&gt;"", NF!B420, "")</f>
        <v/>
      </c>
      <c r="C422">
        <f>IF(A422&lt;&gt;"", NF!C420, "")</f>
        <v/>
      </c>
      <c r="D422">
        <f>IF(A422&lt;&gt;"", NF!D420, "")</f>
        <v/>
      </c>
      <c r="E422">
        <f>IF(A422&lt;&gt;"", XLOOKUP(A422, Extrato!$D:$D, Extrato!$A:$A, ""), "")</f>
        <v/>
      </c>
      <c r="F422">
        <f>IF(A422&lt;&gt;"", XLOOKUP(A422, Extrato!$D:$D, Extrato!$B:$B, ""), "")</f>
        <v/>
      </c>
      <c r="G422">
        <f>IF(A422&lt;&gt;"", XLOOKUP(A422, Extrato!$D:$D, Extrato!$C:$C, ""), "")</f>
        <v/>
      </c>
      <c r="H422">
        <f>IF(A422="", "", IF(E422="", "Pendente", IF(C422=G422, "OK", "Valor divergente")))</f>
        <v/>
      </c>
    </row>
    <row r="423">
      <c r="A423">
        <f>IF(NF!A421&lt;&gt;"", NF!A421, "")</f>
        <v/>
      </c>
      <c r="B423">
        <f>IF(A423&lt;&gt;"", NF!B421, "")</f>
        <v/>
      </c>
      <c r="C423">
        <f>IF(A423&lt;&gt;"", NF!C421, "")</f>
        <v/>
      </c>
      <c r="D423">
        <f>IF(A423&lt;&gt;"", NF!D421, "")</f>
        <v/>
      </c>
      <c r="E423">
        <f>IF(A423&lt;&gt;"", XLOOKUP(A423, Extrato!$D:$D, Extrato!$A:$A, ""), "")</f>
        <v/>
      </c>
      <c r="F423">
        <f>IF(A423&lt;&gt;"", XLOOKUP(A423, Extrato!$D:$D, Extrato!$B:$B, ""), "")</f>
        <v/>
      </c>
      <c r="G423">
        <f>IF(A423&lt;&gt;"", XLOOKUP(A423, Extrato!$D:$D, Extrato!$C:$C, ""), "")</f>
        <v/>
      </c>
      <c r="H423">
        <f>IF(A423="", "", IF(E423="", "Pendente", IF(C423=G423, "OK", "Valor divergente")))</f>
        <v/>
      </c>
    </row>
    <row r="424">
      <c r="A424">
        <f>IF(NF!A422&lt;&gt;"", NF!A422, "")</f>
        <v/>
      </c>
      <c r="B424">
        <f>IF(A424&lt;&gt;"", NF!B422, "")</f>
        <v/>
      </c>
      <c r="C424">
        <f>IF(A424&lt;&gt;"", NF!C422, "")</f>
        <v/>
      </c>
      <c r="D424">
        <f>IF(A424&lt;&gt;"", NF!D422, "")</f>
        <v/>
      </c>
      <c r="E424">
        <f>IF(A424&lt;&gt;"", XLOOKUP(A424, Extrato!$D:$D, Extrato!$A:$A, ""), "")</f>
        <v/>
      </c>
      <c r="F424">
        <f>IF(A424&lt;&gt;"", XLOOKUP(A424, Extrato!$D:$D, Extrato!$B:$B, ""), "")</f>
        <v/>
      </c>
      <c r="G424">
        <f>IF(A424&lt;&gt;"", XLOOKUP(A424, Extrato!$D:$D, Extrato!$C:$C, ""), "")</f>
        <v/>
      </c>
      <c r="H424">
        <f>IF(A424="", "", IF(E424="", "Pendente", IF(C424=G424, "OK", "Valor divergente")))</f>
        <v/>
      </c>
    </row>
    <row r="425">
      <c r="A425">
        <f>IF(NF!A423&lt;&gt;"", NF!A423, "")</f>
        <v/>
      </c>
      <c r="B425">
        <f>IF(A425&lt;&gt;"", NF!B423, "")</f>
        <v/>
      </c>
      <c r="C425">
        <f>IF(A425&lt;&gt;"", NF!C423, "")</f>
        <v/>
      </c>
      <c r="D425">
        <f>IF(A425&lt;&gt;"", NF!D423, "")</f>
        <v/>
      </c>
      <c r="E425">
        <f>IF(A425&lt;&gt;"", XLOOKUP(A425, Extrato!$D:$D, Extrato!$A:$A, ""), "")</f>
        <v/>
      </c>
      <c r="F425">
        <f>IF(A425&lt;&gt;"", XLOOKUP(A425, Extrato!$D:$D, Extrato!$B:$B, ""), "")</f>
        <v/>
      </c>
      <c r="G425">
        <f>IF(A425&lt;&gt;"", XLOOKUP(A425, Extrato!$D:$D, Extrato!$C:$C, ""), "")</f>
        <v/>
      </c>
      <c r="H425">
        <f>IF(A425="", "", IF(E425="", "Pendente", IF(C425=G425, "OK", "Valor divergente")))</f>
        <v/>
      </c>
    </row>
    <row r="426">
      <c r="A426">
        <f>IF(NF!A424&lt;&gt;"", NF!A424, "")</f>
        <v/>
      </c>
      <c r="B426">
        <f>IF(A426&lt;&gt;"", NF!B424, "")</f>
        <v/>
      </c>
      <c r="C426">
        <f>IF(A426&lt;&gt;"", NF!C424, "")</f>
        <v/>
      </c>
      <c r="D426">
        <f>IF(A426&lt;&gt;"", NF!D424, "")</f>
        <v/>
      </c>
      <c r="E426">
        <f>IF(A426&lt;&gt;"", XLOOKUP(A426, Extrato!$D:$D, Extrato!$A:$A, ""), "")</f>
        <v/>
      </c>
      <c r="F426">
        <f>IF(A426&lt;&gt;"", XLOOKUP(A426, Extrato!$D:$D, Extrato!$B:$B, ""), "")</f>
        <v/>
      </c>
      <c r="G426">
        <f>IF(A426&lt;&gt;"", XLOOKUP(A426, Extrato!$D:$D, Extrato!$C:$C, ""), "")</f>
        <v/>
      </c>
      <c r="H426">
        <f>IF(A426="", "", IF(E426="", "Pendente", IF(C426=G426, "OK", "Valor divergente")))</f>
        <v/>
      </c>
    </row>
    <row r="427">
      <c r="A427">
        <f>IF(NF!A425&lt;&gt;"", NF!A425, "")</f>
        <v/>
      </c>
      <c r="B427">
        <f>IF(A427&lt;&gt;"", NF!B425, "")</f>
        <v/>
      </c>
      <c r="C427">
        <f>IF(A427&lt;&gt;"", NF!C425, "")</f>
        <v/>
      </c>
      <c r="D427">
        <f>IF(A427&lt;&gt;"", NF!D425, "")</f>
        <v/>
      </c>
      <c r="E427">
        <f>IF(A427&lt;&gt;"", XLOOKUP(A427, Extrato!$D:$D, Extrato!$A:$A, ""), "")</f>
        <v/>
      </c>
      <c r="F427">
        <f>IF(A427&lt;&gt;"", XLOOKUP(A427, Extrato!$D:$D, Extrato!$B:$B, ""), "")</f>
        <v/>
      </c>
      <c r="G427">
        <f>IF(A427&lt;&gt;"", XLOOKUP(A427, Extrato!$D:$D, Extrato!$C:$C, ""), "")</f>
        <v/>
      </c>
      <c r="H427">
        <f>IF(A427="", "", IF(E427="", "Pendente", IF(C427=G427, "OK", "Valor divergente")))</f>
        <v/>
      </c>
    </row>
    <row r="428">
      <c r="A428">
        <f>IF(NF!A426&lt;&gt;"", NF!A426, "")</f>
        <v/>
      </c>
      <c r="B428">
        <f>IF(A428&lt;&gt;"", NF!B426, "")</f>
        <v/>
      </c>
      <c r="C428">
        <f>IF(A428&lt;&gt;"", NF!C426, "")</f>
        <v/>
      </c>
      <c r="D428">
        <f>IF(A428&lt;&gt;"", NF!D426, "")</f>
        <v/>
      </c>
      <c r="E428">
        <f>IF(A428&lt;&gt;"", XLOOKUP(A428, Extrato!$D:$D, Extrato!$A:$A, ""), "")</f>
        <v/>
      </c>
      <c r="F428">
        <f>IF(A428&lt;&gt;"", XLOOKUP(A428, Extrato!$D:$D, Extrato!$B:$B, ""), "")</f>
        <v/>
      </c>
      <c r="G428">
        <f>IF(A428&lt;&gt;"", XLOOKUP(A428, Extrato!$D:$D, Extrato!$C:$C, ""), "")</f>
        <v/>
      </c>
      <c r="H428">
        <f>IF(A428="", "", IF(E428="", "Pendente", IF(C428=G428, "OK", "Valor divergente")))</f>
        <v/>
      </c>
    </row>
    <row r="429">
      <c r="A429">
        <f>IF(NF!A427&lt;&gt;"", NF!A427, "")</f>
        <v/>
      </c>
      <c r="B429">
        <f>IF(A429&lt;&gt;"", NF!B427, "")</f>
        <v/>
      </c>
      <c r="C429">
        <f>IF(A429&lt;&gt;"", NF!C427, "")</f>
        <v/>
      </c>
      <c r="D429">
        <f>IF(A429&lt;&gt;"", NF!D427, "")</f>
        <v/>
      </c>
      <c r="E429">
        <f>IF(A429&lt;&gt;"", XLOOKUP(A429, Extrato!$D:$D, Extrato!$A:$A, ""), "")</f>
        <v/>
      </c>
      <c r="F429">
        <f>IF(A429&lt;&gt;"", XLOOKUP(A429, Extrato!$D:$D, Extrato!$B:$B, ""), "")</f>
        <v/>
      </c>
      <c r="G429">
        <f>IF(A429&lt;&gt;"", XLOOKUP(A429, Extrato!$D:$D, Extrato!$C:$C, ""), "")</f>
        <v/>
      </c>
      <c r="H429">
        <f>IF(A429="", "", IF(E429="", "Pendente", IF(C429=G429, "OK", "Valor divergente")))</f>
        <v/>
      </c>
    </row>
    <row r="430">
      <c r="A430">
        <f>IF(NF!A428&lt;&gt;"", NF!A428, "")</f>
        <v/>
      </c>
      <c r="B430">
        <f>IF(A430&lt;&gt;"", NF!B428, "")</f>
        <v/>
      </c>
      <c r="C430">
        <f>IF(A430&lt;&gt;"", NF!C428, "")</f>
        <v/>
      </c>
      <c r="D430">
        <f>IF(A430&lt;&gt;"", NF!D428, "")</f>
        <v/>
      </c>
      <c r="E430">
        <f>IF(A430&lt;&gt;"", XLOOKUP(A430, Extrato!$D:$D, Extrato!$A:$A, ""), "")</f>
        <v/>
      </c>
      <c r="F430">
        <f>IF(A430&lt;&gt;"", XLOOKUP(A430, Extrato!$D:$D, Extrato!$B:$B, ""), "")</f>
        <v/>
      </c>
      <c r="G430">
        <f>IF(A430&lt;&gt;"", XLOOKUP(A430, Extrato!$D:$D, Extrato!$C:$C, ""), "")</f>
        <v/>
      </c>
      <c r="H430">
        <f>IF(A430="", "", IF(E430="", "Pendente", IF(C430=G430, "OK", "Valor divergente")))</f>
        <v/>
      </c>
    </row>
    <row r="431">
      <c r="A431">
        <f>IF(NF!A429&lt;&gt;"", NF!A429, "")</f>
        <v/>
      </c>
      <c r="B431">
        <f>IF(A431&lt;&gt;"", NF!B429, "")</f>
        <v/>
      </c>
      <c r="C431">
        <f>IF(A431&lt;&gt;"", NF!C429, "")</f>
        <v/>
      </c>
      <c r="D431">
        <f>IF(A431&lt;&gt;"", NF!D429, "")</f>
        <v/>
      </c>
      <c r="E431">
        <f>IF(A431&lt;&gt;"", XLOOKUP(A431, Extrato!$D:$D, Extrato!$A:$A, ""), "")</f>
        <v/>
      </c>
      <c r="F431">
        <f>IF(A431&lt;&gt;"", XLOOKUP(A431, Extrato!$D:$D, Extrato!$B:$B, ""), "")</f>
        <v/>
      </c>
      <c r="G431">
        <f>IF(A431&lt;&gt;"", XLOOKUP(A431, Extrato!$D:$D, Extrato!$C:$C, ""), "")</f>
        <v/>
      </c>
      <c r="H431">
        <f>IF(A431="", "", IF(E431="", "Pendente", IF(C431=G431, "OK", "Valor divergente")))</f>
        <v/>
      </c>
    </row>
    <row r="432">
      <c r="A432">
        <f>IF(NF!A430&lt;&gt;"", NF!A430, "")</f>
        <v/>
      </c>
      <c r="B432">
        <f>IF(A432&lt;&gt;"", NF!B430, "")</f>
        <v/>
      </c>
      <c r="C432">
        <f>IF(A432&lt;&gt;"", NF!C430, "")</f>
        <v/>
      </c>
      <c r="D432">
        <f>IF(A432&lt;&gt;"", NF!D430, "")</f>
        <v/>
      </c>
      <c r="E432">
        <f>IF(A432&lt;&gt;"", XLOOKUP(A432, Extrato!$D:$D, Extrato!$A:$A, ""), "")</f>
        <v/>
      </c>
      <c r="F432">
        <f>IF(A432&lt;&gt;"", XLOOKUP(A432, Extrato!$D:$D, Extrato!$B:$B, ""), "")</f>
        <v/>
      </c>
      <c r="G432">
        <f>IF(A432&lt;&gt;"", XLOOKUP(A432, Extrato!$D:$D, Extrato!$C:$C, ""), "")</f>
        <v/>
      </c>
      <c r="H432">
        <f>IF(A432="", "", IF(E432="", "Pendente", IF(C432=G432, "OK", "Valor divergente")))</f>
        <v/>
      </c>
    </row>
    <row r="433">
      <c r="A433">
        <f>IF(NF!A431&lt;&gt;"", NF!A431, "")</f>
        <v/>
      </c>
      <c r="B433">
        <f>IF(A433&lt;&gt;"", NF!B431, "")</f>
        <v/>
      </c>
      <c r="C433">
        <f>IF(A433&lt;&gt;"", NF!C431, "")</f>
        <v/>
      </c>
      <c r="D433">
        <f>IF(A433&lt;&gt;"", NF!D431, "")</f>
        <v/>
      </c>
      <c r="E433">
        <f>IF(A433&lt;&gt;"", XLOOKUP(A433, Extrato!$D:$D, Extrato!$A:$A, ""), "")</f>
        <v/>
      </c>
      <c r="F433">
        <f>IF(A433&lt;&gt;"", XLOOKUP(A433, Extrato!$D:$D, Extrato!$B:$B, ""), "")</f>
        <v/>
      </c>
      <c r="G433">
        <f>IF(A433&lt;&gt;"", XLOOKUP(A433, Extrato!$D:$D, Extrato!$C:$C, ""), "")</f>
        <v/>
      </c>
      <c r="H433">
        <f>IF(A433="", "", IF(E433="", "Pendente", IF(C433=G433, "OK", "Valor divergente")))</f>
        <v/>
      </c>
    </row>
    <row r="434">
      <c r="A434">
        <f>IF(NF!A432&lt;&gt;"", NF!A432, "")</f>
        <v/>
      </c>
      <c r="B434">
        <f>IF(A434&lt;&gt;"", NF!B432, "")</f>
        <v/>
      </c>
      <c r="C434">
        <f>IF(A434&lt;&gt;"", NF!C432, "")</f>
        <v/>
      </c>
      <c r="D434">
        <f>IF(A434&lt;&gt;"", NF!D432, "")</f>
        <v/>
      </c>
      <c r="E434">
        <f>IF(A434&lt;&gt;"", XLOOKUP(A434, Extrato!$D:$D, Extrato!$A:$A, ""), "")</f>
        <v/>
      </c>
      <c r="F434">
        <f>IF(A434&lt;&gt;"", XLOOKUP(A434, Extrato!$D:$D, Extrato!$B:$B, ""), "")</f>
        <v/>
      </c>
      <c r="G434">
        <f>IF(A434&lt;&gt;"", XLOOKUP(A434, Extrato!$D:$D, Extrato!$C:$C, ""), "")</f>
        <v/>
      </c>
      <c r="H434">
        <f>IF(A434="", "", IF(E434="", "Pendente", IF(C434=G434, "OK", "Valor divergente")))</f>
        <v/>
      </c>
    </row>
    <row r="435">
      <c r="A435">
        <f>IF(NF!A433&lt;&gt;"", NF!A433, "")</f>
        <v/>
      </c>
      <c r="B435">
        <f>IF(A435&lt;&gt;"", NF!B433, "")</f>
        <v/>
      </c>
      <c r="C435">
        <f>IF(A435&lt;&gt;"", NF!C433, "")</f>
        <v/>
      </c>
      <c r="D435">
        <f>IF(A435&lt;&gt;"", NF!D433, "")</f>
        <v/>
      </c>
      <c r="E435">
        <f>IF(A435&lt;&gt;"", XLOOKUP(A435, Extrato!$D:$D, Extrato!$A:$A, ""), "")</f>
        <v/>
      </c>
      <c r="F435">
        <f>IF(A435&lt;&gt;"", XLOOKUP(A435, Extrato!$D:$D, Extrato!$B:$B, ""), "")</f>
        <v/>
      </c>
      <c r="G435">
        <f>IF(A435&lt;&gt;"", XLOOKUP(A435, Extrato!$D:$D, Extrato!$C:$C, ""), "")</f>
        <v/>
      </c>
      <c r="H435">
        <f>IF(A435="", "", IF(E435="", "Pendente", IF(C435=G435, "OK", "Valor divergente")))</f>
        <v/>
      </c>
    </row>
    <row r="436">
      <c r="A436">
        <f>IF(NF!A434&lt;&gt;"", NF!A434, "")</f>
        <v/>
      </c>
      <c r="B436">
        <f>IF(A436&lt;&gt;"", NF!B434, "")</f>
        <v/>
      </c>
      <c r="C436">
        <f>IF(A436&lt;&gt;"", NF!C434, "")</f>
        <v/>
      </c>
      <c r="D436">
        <f>IF(A436&lt;&gt;"", NF!D434, "")</f>
        <v/>
      </c>
      <c r="E436">
        <f>IF(A436&lt;&gt;"", XLOOKUP(A436, Extrato!$D:$D, Extrato!$A:$A, ""), "")</f>
        <v/>
      </c>
      <c r="F436">
        <f>IF(A436&lt;&gt;"", XLOOKUP(A436, Extrato!$D:$D, Extrato!$B:$B, ""), "")</f>
        <v/>
      </c>
      <c r="G436">
        <f>IF(A436&lt;&gt;"", XLOOKUP(A436, Extrato!$D:$D, Extrato!$C:$C, ""), "")</f>
        <v/>
      </c>
      <c r="H436">
        <f>IF(A436="", "", IF(E436="", "Pendente", IF(C436=G436, "OK", "Valor divergente")))</f>
        <v/>
      </c>
    </row>
    <row r="437">
      <c r="A437">
        <f>IF(NF!A435&lt;&gt;"", NF!A435, "")</f>
        <v/>
      </c>
      <c r="B437">
        <f>IF(A437&lt;&gt;"", NF!B435, "")</f>
        <v/>
      </c>
      <c r="C437">
        <f>IF(A437&lt;&gt;"", NF!C435, "")</f>
        <v/>
      </c>
      <c r="D437">
        <f>IF(A437&lt;&gt;"", NF!D435, "")</f>
        <v/>
      </c>
      <c r="E437">
        <f>IF(A437&lt;&gt;"", XLOOKUP(A437, Extrato!$D:$D, Extrato!$A:$A, ""), "")</f>
        <v/>
      </c>
      <c r="F437">
        <f>IF(A437&lt;&gt;"", XLOOKUP(A437, Extrato!$D:$D, Extrato!$B:$B, ""), "")</f>
        <v/>
      </c>
      <c r="G437">
        <f>IF(A437&lt;&gt;"", XLOOKUP(A437, Extrato!$D:$D, Extrato!$C:$C, ""), "")</f>
        <v/>
      </c>
      <c r="H437">
        <f>IF(A437="", "", IF(E437="", "Pendente", IF(C437=G437, "OK", "Valor divergente")))</f>
        <v/>
      </c>
    </row>
    <row r="438">
      <c r="A438">
        <f>IF(NF!A436&lt;&gt;"", NF!A436, "")</f>
        <v/>
      </c>
      <c r="B438">
        <f>IF(A438&lt;&gt;"", NF!B436, "")</f>
        <v/>
      </c>
      <c r="C438">
        <f>IF(A438&lt;&gt;"", NF!C436, "")</f>
        <v/>
      </c>
      <c r="D438">
        <f>IF(A438&lt;&gt;"", NF!D436, "")</f>
        <v/>
      </c>
      <c r="E438">
        <f>IF(A438&lt;&gt;"", XLOOKUP(A438, Extrato!$D:$D, Extrato!$A:$A, ""), "")</f>
        <v/>
      </c>
      <c r="F438">
        <f>IF(A438&lt;&gt;"", XLOOKUP(A438, Extrato!$D:$D, Extrato!$B:$B, ""), "")</f>
        <v/>
      </c>
      <c r="G438">
        <f>IF(A438&lt;&gt;"", XLOOKUP(A438, Extrato!$D:$D, Extrato!$C:$C, ""), "")</f>
        <v/>
      </c>
      <c r="H438">
        <f>IF(A438="", "", IF(E438="", "Pendente", IF(C438=G438, "OK", "Valor divergente")))</f>
        <v/>
      </c>
    </row>
    <row r="439">
      <c r="A439">
        <f>IF(NF!A437&lt;&gt;"", NF!A437, "")</f>
        <v/>
      </c>
      <c r="B439">
        <f>IF(A439&lt;&gt;"", NF!B437, "")</f>
        <v/>
      </c>
      <c r="C439">
        <f>IF(A439&lt;&gt;"", NF!C437, "")</f>
        <v/>
      </c>
      <c r="D439">
        <f>IF(A439&lt;&gt;"", NF!D437, "")</f>
        <v/>
      </c>
      <c r="E439">
        <f>IF(A439&lt;&gt;"", XLOOKUP(A439, Extrato!$D:$D, Extrato!$A:$A, ""), "")</f>
        <v/>
      </c>
      <c r="F439">
        <f>IF(A439&lt;&gt;"", XLOOKUP(A439, Extrato!$D:$D, Extrato!$B:$B, ""), "")</f>
        <v/>
      </c>
      <c r="G439">
        <f>IF(A439&lt;&gt;"", XLOOKUP(A439, Extrato!$D:$D, Extrato!$C:$C, ""), "")</f>
        <v/>
      </c>
      <c r="H439">
        <f>IF(A439="", "", IF(E439="", "Pendente", IF(C439=G439, "OK", "Valor divergente")))</f>
        <v/>
      </c>
    </row>
    <row r="440">
      <c r="A440">
        <f>IF(NF!A438&lt;&gt;"", NF!A438, "")</f>
        <v/>
      </c>
      <c r="B440">
        <f>IF(A440&lt;&gt;"", NF!B438, "")</f>
        <v/>
      </c>
      <c r="C440">
        <f>IF(A440&lt;&gt;"", NF!C438, "")</f>
        <v/>
      </c>
      <c r="D440">
        <f>IF(A440&lt;&gt;"", NF!D438, "")</f>
        <v/>
      </c>
      <c r="E440">
        <f>IF(A440&lt;&gt;"", XLOOKUP(A440, Extrato!$D:$D, Extrato!$A:$A, ""), "")</f>
        <v/>
      </c>
      <c r="F440">
        <f>IF(A440&lt;&gt;"", XLOOKUP(A440, Extrato!$D:$D, Extrato!$B:$B, ""), "")</f>
        <v/>
      </c>
      <c r="G440">
        <f>IF(A440&lt;&gt;"", XLOOKUP(A440, Extrato!$D:$D, Extrato!$C:$C, ""), "")</f>
        <v/>
      </c>
      <c r="H440">
        <f>IF(A440="", "", IF(E440="", "Pendente", IF(C440=G440, "OK", "Valor divergente")))</f>
        <v/>
      </c>
    </row>
    <row r="441">
      <c r="A441">
        <f>IF(NF!A439&lt;&gt;"", NF!A439, "")</f>
        <v/>
      </c>
      <c r="B441">
        <f>IF(A441&lt;&gt;"", NF!B439, "")</f>
        <v/>
      </c>
      <c r="C441">
        <f>IF(A441&lt;&gt;"", NF!C439, "")</f>
        <v/>
      </c>
      <c r="D441">
        <f>IF(A441&lt;&gt;"", NF!D439, "")</f>
        <v/>
      </c>
      <c r="E441">
        <f>IF(A441&lt;&gt;"", XLOOKUP(A441, Extrato!$D:$D, Extrato!$A:$A, ""), "")</f>
        <v/>
      </c>
      <c r="F441">
        <f>IF(A441&lt;&gt;"", XLOOKUP(A441, Extrato!$D:$D, Extrato!$B:$B, ""), "")</f>
        <v/>
      </c>
      <c r="G441">
        <f>IF(A441&lt;&gt;"", XLOOKUP(A441, Extrato!$D:$D, Extrato!$C:$C, ""), "")</f>
        <v/>
      </c>
      <c r="H441">
        <f>IF(A441="", "", IF(E441="", "Pendente", IF(C441=G441, "OK", "Valor divergente")))</f>
        <v/>
      </c>
    </row>
    <row r="442">
      <c r="A442">
        <f>IF(NF!A440&lt;&gt;"", NF!A440, "")</f>
        <v/>
      </c>
      <c r="B442">
        <f>IF(A442&lt;&gt;"", NF!B440, "")</f>
        <v/>
      </c>
      <c r="C442">
        <f>IF(A442&lt;&gt;"", NF!C440, "")</f>
        <v/>
      </c>
      <c r="D442">
        <f>IF(A442&lt;&gt;"", NF!D440, "")</f>
        <v/>
      </c>
      <c r="E442">
        <f>IF(A442&lt;&gt;"", XLOOKUP(A442, Extrato!$D:$D, Extrato!$A:$A, ""), "")</f>
        <v/>
      </c>
      <c r="F442">
        <f>IF(A442&lt;&gt;"", XLOOKUP(A442, Extrato!$D:$D, Extrato!$B:$B, ""), "")</f>
        <v/>
      </c>
      <c r="G442">
        <f>IF(A442&lt;&gt;"", XLOOKUP(A442, Extrato!$D:$D, Extrato!$C:$C, ""), "")</f>
        <v/>
      </c>
      <c r="H442">
        <f>IF(A442="", "", IF(E442="", "Pendente", IF(C442=G442, "OK", "Valor divergente")))</f>
        <v/>
      </c>
    </row>
    <row r="443">
      <c r="A443">
        <f>IF(NF!A441&lt;&gt;"", NF!A441, "")</f>
        <v/>
      </c>
      <c r="B443">
        <f>IF(A443&lt;&gt;"", NF!B441, "")</f>
        <v/>
      </c>
      <c r="C443">
        <f>IF(A443&lt;&gt;"", NF!C441, "")</f>
        <v/>
      </c>
      <c r="D443">
        <f>IF(A443&lt;&gt;"", NF!D441, "")</f>
        <v/>
      </c>
      <c r="E443">
        <f>IF(A443&lt;&gt;"", XLOOKUP(A443, Extrato!$D:$D, Extrato!$A:$A, ""), "")</f>
        <v/>
      </c>
      <c r="F443">
        <f>IF(A443&lt;&gt;"", XLOOKUP(A443, Extrato!$D:$D, Extrato!$B:$B, ""), "")</f>
        <v/>
      </c>
      <c r="G443">
        <f>IF(A443&lt;&gt;"", XLOOKUP(A443, Extrato!$D:$D, Extrato!$C:$C, ""), "")</f>
        <v/>
      </c>
      <c r="H443">
        <f>IF(A443="", "", IF(E443="", "Pendente", IF(C443=G443, "OK", "Valor divergente")))</f>
        <v/>
      </c>
    </row>
    <row r="444">
      <c r="A444">
        <f>IF(NF!A442&lt;&gt;"", NF!A442, "")</f>
        <v/>
      </c>
      <c r="B444">
        <f>IF(A444&lt;&gt;"", NF!B442, "")</f>
        <v/>
      </c>
      <c r="C444">
        <f>IF(A444&lt;&gt;"", NF!C442, "")</f>
        <v/>
      </c>
      <c r="D444">
        <f>IF(A444&lt;&gt;"", NF!D442, "")</f>
        <v/>
      </c>
      <c r="E444">
        <f>IF(A444&lt;&gt;"", XLOOKUP(A444, Extrato!$D:$D, Extrato!$A:$A, ""), "")</f>
        <v/>
      </c>
      <c r="F444">
        <f>IF(A444&lt;&gt;"", XLOOKUP(A444, Extrato!$D:$D, Extrato!$B:$B, ""), "")</f>
        <v/>
      </c>
      <c r="G444">
        <f>IF(A444&lt;&gt;"", XLOOKUP(A444, Extrato!$D:$D, Extrato!$C:$C, ""), "")</f>
        <v/>
      </c>
      <c r="H444">
        <f>IF(A444="", "", IF(E444="", "Pendente", IF(C444=G444, "OK", "Valor divergente")))</f>
        <v/>
      </c>
    </row>
    <row r="445">
      <c r="A445">
        <f>IF(NF!A443&lt;&gt;"", NF!A443, "")</f>
        <v/>
      </c>
      <c r="B445">
        <f>IF(A445&lt;&gt;"", NF!B443, "")</f>
        <v/>
      </c>
      <c r="C445">
        <f>IF(A445&lt;&gt;"", NF!C443, "")</f>
        <v/>
      </c>
      <c r="D445">
        <f>IF(A445&lt;&gt;"", NF!D443, "")</f>
        <v/>
      </c>
      <c r="E445">
        <f>IF(A445&lt;&gt;"", XLOOKUP(A445, Extrato!$D:$D, Extrato!$A:$A, ""), "")</f>
        <v/>
      </c>
      <c r="F445">
        <f>IF(A445&lt;&gt;"", XLOOKUP(A445, Extrato!$D:$D, Extrato!$B:$B, ""), "")</f>
        <v/>
      </c>
      <c r="G445">
        <f>IF(A445&lt;&gt;"", XLOOKUP(A445, Extrato!$D:$D, Extrato!$C:$C, ""), "")</f>
        <v/>
      </c>
      <c r="H445">
        <f>IF(A445="", "", IF(E445="", "Pendente", IF(C445=G445, "OK", "Valor divergente")))</f>
        <v/>
      </c>
    </row>
    <row r="446">
      <c r="A446">
        <f>IF(NF!A444&lt;&gt;"", NF!A444, "")</f>
        <v/>
      </c>
      <c r="B446">
        <f>IF(A446&lt;&gt;"", NF!B444, "")</f>
        <v/>
      </c>
      <c r="C446">
        <f>IF(A446&lt;&gt;"", NF!C444, "")</f>
        <v/>
      </c>
      <c r="D446">
        <f>IF(A446&lt;&gt;"", NF!D444, "")</f>
        <v/>
      </c>
      <c r="E446">
        <f>IF(A446&lt;&gt;"", XLOOKUP(A446, Extrato!$D:$D, Extrato!$A:$A, ""), "")</f>
        <v/>
      </c>
      <c r="F446">
        <f>IF(A446&lt;&gt;"", XLOOKUP(A446, Extrato!$D:$D, Extrato!$B:$B, ""), "")</f>
        <v/>
      </c>
      <c r="G446">
        <f>IF(A446&lt;&gt;"", XLOOKUP(A446, Extrato!$D:$D, Extrato!$C:$C, ""), "")</f>
        <v/>
      </c>
      <c r="H446">
        <f>IF(A446="", "", IF(E446="", "Pendente", IF(C446=G446, "OK", "Valor divergente")))</f>
        <v/>
      </c>
    </row>
    <row r="447">
      <c r="A447">
        <f>IF(NF!A445&lt;&gt;"", NF!A445, "")</f>
        <v/>
      </c>
      <c r="B447">
        <f>IF(A447&lt;&gt;"", NF!B445, "")</f>
        <v/>
      </c>
      <c r="C447">
        <f>IF(A447&lt;&gt;"", NF!C445, "")</f>
        <v/>
      </c>
      <c r="D447">
        <f>IF(A447&lt;&gt;"", NF!D445, "")</f>
        <v/>
      </c>
      <c r="E447">
        <f>IF(A447&lt;&gt;"", XLOOKUP(A447, Extrato!$D:$D, Extrato!$A:$A, ""), "")</f>
        <v/>
      </c>
      <c r="F447">
        <f>IF(A447&lt;&gt;"", XLOOKUP(A447, Extrato!$D:$D, Extrato!$B:$B, ""), "")</f>
        <v/>
      </c>
      <c r="G447">
        <f>IF(A447&lt;&gt;"", XLOOKUP(A447, Extrato!$D:$D, Extrato!$C:$C, ""), "")</f>
        <v/>
      </c>
      <c r="H447">
        <f>IF(A447="", "", IF(E447="", "Pendente", IF(C447=G447, "OK", "Valor divergente")))</f>
        <v/>
      </c>
    </row>
    <row r="448">
      <c r="A448">
        <f>IF(NF!A446&lt;&gt;"", NF!A446, "")</f>
        <v/>
      </c>
      <c r="B448">
        <f>IF(A448&lt;&gt;"", NF!B446, "")</f>
        <v/>
      </c>
      <c r="C448">
        <f>IF(A448&lt;&gt;"", NF!C446, "")</f>
        <v/>
      </c>
      <c r="D448">
        <f>IF(A448&lt;&gt;"", NF!D446, "")</f>
        <v/>
      </c>
      <c r="E448">
        <f>IF(A448&lt;&gt;"", XLOOKUP(A448, Extrato!$D:$D, Extrato!$A:$A, ""), "")</f>
        <v/>
      </c>
      <c r="F448">
        <f>IF(A448&lt;&gt;"", XLOOKUP(A448, Extrato!$D:$D, Extrato!$B:$B, ""), "")</f>
        <v/>
      </c>
      <c r="G448">
        <f>IF(A448&lt;&gt;"", XLOOKUP(A448, Extrato!$D:$D, Extrato!$C:$C, ""), "")</f>
        <v/>
      </c>
      <c r="H448">
        <f>IF(A448="", "", IF(E448="", "Pendente", IF(C448=G448, "OK", "Valor divergente")))</f>
        <v/>
      </c>
    </row>
    <row r="449">
      <c r="A449">
        <f>IF(NF!A447&lt;&gt;"", NF!A447, "")</f>
        <v/>
      </c>
      <c r="B449">
        <f>IF(A449&lt;&gt;"", NF!B447, "")</f>
        <v/>
      </c>
      <c r="C449">
        <f>IF(A449&lt;&gt;"", NF!C447, "")</f>
        <v/>
      </c>
      <c r="D449">
        <f>IF(A449&lt;&gt;"", NF!D447, "")</f>
        <v/>
      </c>
      <c r="E449">
        <f>IF(A449&lt;&gt;"", XLOOKUP(A449, Extrato!$D:$D, Extrato!$A:$A, ""), "")</f>
        <v/>
      </c>
      <c r="F449">
        <f>IF(A449&lt;&gt;"", XLOOKUP(A449, Extrato!$D:$D, Extrato!$B:$B, ""), "")</f>
        <v/>
      </c>
      <c r="G449">
        <f>IF(A449&lt;&gt;"", XLOOKUP(A449, Extrato!$D:$D, Extrato!$C:$C, ""), "")</f>
        <v/>
      </c>
      <c r="H449">
        <f>IF(A449="", "", IF(E449="", "Pendente", IF(C449=G449, "OK", "Valor divergente")))</f>
        <v/>
      </c>
    </row>
    <row r="450">
      <c r="A450">
        <f>IF(NF!A448&lt;&gt;"", NF!A448, "")</f>
        <v/>
      </c>
      <c r="B450">
        <f>IF(A450&lt;&gt;"", NF!B448, "")</f>
        <v/>
      </c>
      <c r="C450">
        <f>IF(A450&lt;&gt;"", NF!C448, "")</f>
        <v/>
      </c>
      <c r="D450">
        <f>IF(A450&lt;&gt;"", NF!D448, "")</f>
        <v/>
      </c>
      <c r="E450">
        <f>IF(A450&lt;&gt;"", XLOOKUP(A450, Extrato!$D:$D, Extrato!$A:$A, ""), "")</f>
        <v/>
      </c>
      <c r="F450">
        <f>IF(A450&lt;&gt;"", XLOOKUP(A450, Extrato!$D:$D, Extrato!$B:$B, ""), "")</f>
        <v/>
      </c>
      <c r="G450">
        <f>IF(A450&lt;&gt;"", XLOOKUP(A450, Extrato!$D:$D, Extrato!$C:$C, ""), "")</f>
        <v/>
      </c>
      <c r="H450">
        <f>IF(A450="", "", IF(E450="", "Pendente", IF(C450=G450, "OK", "Valor divergente")))</f>
        <v/>
      </c>
    </row>
    <row r="451">
      <c r="A451">
        <f>IF(NF!A449&lt;&gt;"", NF!A449, "")</f>
        <v/>
      </c>
      <c r="B451">
        <f>IF(A451&lt;&gt;"", NF!B449, "")</f>
        <v/>
      </c>
      <c r="C451">
        <f>IF(A451&lt;&gt;"", NF!C449, "")</f>
        <v/>
      </c>
      <c r="D451">
        <f>IF(A451&lt;&gt;"", NF!D449, "")</f>
        <v/>
      </c>
      <c r="E451">
        <f>IF(A451&lt;&gt;"", XLOOKUP(A451, Extrato!$D:$D, Extrato!$A:$A, ""), "")</f>
        <v/>
      </c>
      <c r="F451">
        <f>IF(A451&lt;&gt;"", XLOOKUP(A451, Extrato!$D:$D, Extrato!$B:$B, ""), "")</f>
        <v/>
      </c>
      <c r="G451">
        <f>IF(A451&lt;&gt;"", XLOOKUP(A451, Extrato!$D:$D, Extrato!$C:$C, ""), "")</f>
        <v/>
      </c>
      <c r="H451">
        <f>IF(A451="", "", IF(E451="", "Pendente", IF(C451=G451, "OK", "Valor divergente")))</f>
        <v/>
      </c>
    </row>
    <row r="452">
      <c r="A452">
        <f>IF(NF!A450&lt;&gt;"", NF!A450, "")</f>
        <v/>
      </c>
      <c r="B452">
        <f>IF(A452&lt;&gt;"", NF!B450, "")</f>
        <v/>
      </c>
      <c r="C452">
        <f>IF(A452&lt;&gt;"", NF!C450, "")</f>
        <v/>
      </c>
      <c r="D452">
        <f>IF(A452&lt;&gt;"", NF!D450, "")</f>
        <v/>
      </c>
      <c r="E452">
        <f>IF(A452&lt;&gt;"", XLOOKUP(A452, Extrato!$D:$D, Extrato!$A:$A, ""), "")</f>
        <v/>
      </c>
      <c r="F452">
        <f>IF(A452&lt;&gt;"", XLOOKUP(A452, Extrato!$D:$D, Extrato!$B:$B, ""), "")</f>
        <v/>
      </c>
      <c r="G452">
        <f>IF(A452&lt;&gt;"", XLOOKUP(A452, Extrato!$D:$D, Extrato!$C:$C, ""), "")</f>
        <v/>
      </c>
      <c r="H452">
        <f>IF(A452="", "", IF(E452="", "Pendente", IF(C452=G452, "OK", "Valor divergente")))</f>
        <v/>
      </c>
    </row>
    <row r="453">
      <c r="A453">
        <f>IF(NF!A451&lt;&gt;"", NF!A451, "")</f>
        <v/>
      </c>
      <c r="B453">
        <f>IF(A453&lt;&gt;"", NF!B451, "")</f>
        <v/>
      </c>
      <c r="C453">
        <f>IF(A453&lt;&gt;"", NF!C451, "")</f>
        <v/>
      </c>
      <c r="D453">
        <f>IF(A453&lt;&gt;"", NF!D451, "")</f>
        <v/>
      </c>
      <c r="E453">
        <f>IF(A453&lt;&gt;"", XLOOKUP(A453, Extrato!$D:$D, Extrato!$A:$A, ""), "")</f>
        <v/>
      </c>
      <c r="F453">
        <f>IF(A453&lt;&gt;"", XLOOKUP(A453, Extrato!$D:$D, Extrato!$B:$B, ""), "")</f>
        <v/>
      </c>
      <c r="G453">
        <f>IF(A453&lt;&gt;"", XLOOKUP(A453, Extrato!$D:$D, Extrato!$C:$C, ""), "")</f>
        <v/>
      </c>
      <c r="H453">
        <f>IF(A453="", "", IF(E453="", "Pendente", IF(C453=G453, "OK", "Valor divergente")))</f>
        <v/>
      </c>
    </row>
    <row r="454">
      <c r="A454">
        <f>IF(NF!A452&lt;&gt;"", NF!A452, "")</f>
        <v/>
      </c>
      <c r="B454">
        <f>IF(A454&lt;&gt;"", NF!B452, "")</f>
        <v/>
      </c>
      <c r="C454">
        <f>IF(A454&lt;&gt;"", NF!C452, "")</f>
        <v/>
      </c>
      <c r="D454">
        <f>IF(A454&lt;&gt;"", NF!D452, "")</f>
        <v/>
      </c>
      <c r="E454">
        <f>IF(A454&lt;&gt;"", XLOOKUP(A454, Extrato!$D:$D, Extrato!$A:$A, ""), "")</f>
        <v/>
      </c>
      <c r="F454">
        <f>IF(A454&lt;&gt;"", XLOOKUP(A454, Extrato!$D:$D, Extrato!$B:$B, ""), "")</f>
        <v/>
      </c>
      <c r="G454">
        <f>IF(A454&lt;&gt;"", XLOOKUP(A454, Extrato!$D:$D, Extrato!$C:$C, ""), "")</f>
        <v/>
      </c>
      <c r="H454">
        <f>IF(A454="", "", IF(E454="", "Pendente", IF(C454=G454, "OK", "Valor divergente")))</f>
        <v/>
      </c>
    </row>
    <row r="455">
      <c r="A455">
        <f>IF(NF!A453&lt;&gt;"", NF!A453, "")</f>
        <v/>
      </c>
      <c r="B455">
        <f>IF(A455&lt;&gt;"", NF!B453, "")</f>
        <v/>
      </c>
      <c r="C455">
        <f>IF(A455&lt;&gt;"", NF!C453, "")</f>
        <v/>
      </c>
      <c r="D455">
        <f>IF(A455&lt;&gt;"", NF!D453, "")</f>
        <v/>
      </c>
      <c r="E455">
        <f>IF(A455&lt;&gt;"", XLOOKUP(A455, Extrato!$D:$D, Extrato!$A:$A, ""), "")</f>
        <v/>
      </c>
      <c r="F455">
        <f>IF(A455&lt;&gt;"", XLOOKUP(A455, Extrato!$D:$D, Extrato!$B:$B, ""), "")</f>
        <v/>
      </c>
      <c r="G455">
        <f>IF(A455&lt;&gt;"", XLOOKUP(A455, Extrato!$D:$D, Extrato!$C:$C, ""), "")</f>
        <v/>
      </c>
      <c r="H455">
        <f>IF(A455="", "", IF(E455="", "Pendente", IF(C455=G455, "OK", "Valor divergente")))</f>
        <v/>
      </c>
    </row>
    <row r="456">
      <c r="A456">
        <f>IF(NF!A454&lt;&gt;"", NF!A454, "")</f>
        <v/>
      </c>
      <c r="B456">
        <f>IF(A456&lt;&gt;"", NF!B454, "")</f>
        <v/>
      </c>
      <c r="C456">
        <f>IF(A456&lt;&gt;"", NF!C454, "")</f>
        <v/>
      </c>
      <c r="D456">
        <f>IF(A456&lt;&gt;"", NF!D454, "")</f>
        <v/>
      </c>
      <c r="E456">
        <f>IF(A456&lt;&gt;"", XLOOKUP(A456, Extrato!$D:$D, Extrato!$A:$A, ""), "")</f>
        <v/>
      </c>
      <c r="F456">
        <f>IF(A456&lt;&gt;"", XLOOKUP(A456, Extrato!$D:$D, Extrato!$B:$B, ""), "")</f>
        <v/>
      </c>
      <c r="G456">
        <f>IF(A456&lt;&gt;"", XLOOKUP(A456, Extrato!$D:$D, Extrato!$C:$C, ""), "")</f>
        <v/>
      </c>
      <c r="H456">
        <f>IF(A456="", "", IF(E456="", "Pendente", IF(C456=G456, "OK", "Valor divergente")))</f>
        <v/>
      </c>
    </row>
    <row r="457">
      <c r="A457">
        <f>IF(NF!A455&lt;&gt;"", NF!A455, "")</f>
        <v/>
      </c>
      <c r="B457">
        <f>IF(A457&lt;&gt;"", NF!B455, "")</f>
        <v/>
      </c>
      <c r="C457">
        <f>IF(A457&lt;&gt;"", NF!C455, "")</f>
        <v/>
      </c>
      <c r="D457">
        <f>IF(A457&lt;&gt;"", NF!D455, "")</f>
        <v/>
      </c>
      <c r="E457">
        <f>IF(A457&lt;&gt;"", XLOOKUP(A457, Extrato!$D:$D, Extrato!$A:$A, ""), "")</f>
        <v/>
      </c>
      <c r="F457">
        <f>IF(A457&lt;&gt;"", XLOOKUP(A457, Extrato!$D:$D, Extrato!$B:$B, ""), "")</f>
        <v/>
      </c>
      <c r="G457">
        <f>IF(A457&lt;&gt;"", XLOOKUP(A457, Extrato!$D:$D, Extrato!$C:$C, ""), "")</f>
        <v/>
      </c>
      <c r="H457">
        <f>IF(A457="", "", IF(E457="", "Pendente", IF(C457=G457, "OK", "Valor divergente")))</f>
        <v/>
      </c>
    </row>
    <row r="458">
      <c r="A458">
        <f>IF(NF!A456&lt;&gt;"", NF!A456, "")</f>
        <v/>
      </c>
      <c r="B458">
        <f>IF(A458&lt;&gt;"", NF!B456, "")</f>
        <v/>
      </c>
      <c r="C458">
        <f>IF(A458&lt;&gt;"", NF!C456, "")</f>
        <v/>
      </c>
      <c r="D458">
        <f>IF(A458&lt;&gt;"", NF!D456, "")</f>
        <v/>
      </c>
      <c r="E458">
        <f>IF(A458&lt;&gt;"", XLOOKUP(A458, Extrato!$D:$D, Extrato!$A:$A, ""), "")</f>
        <v/>
      </c>
      <c r="F458">
        <f>IF(A458&lt;&gt;"", XLOOKUP(A458, Extrato!$D:$D, Extrato!$B:$B, ""), "")</f>
        <v/>
      </c>
      <c r="G458">
        <f>IF(A458&lt;&gt;"", XLOOKUP(A458, Extrato!$D:$D, Extrato!$C:$C, ""), "")</f>
        <v/>
      </c>
      <c r="H458">
        <f>IF(A458="", "", IF(E458="", "Pendente", IF(C458=G458, "OK", "Valor divergente")))</f>
        <v/>
      </c>
    </row>
    <row r="459">
      <c r="A459">
        <f>IF(NF!A457&lt;&gt;"", NF!A457, "")</f>
        <v/>
      </c>
      <c r="B459">
        <f>IF(A459&lt;&gt;"", NF!B457, "")</f>
        <v/>
      </c>
      <c r="C459">
        <f>IF(A459&lt;&gt;"", NF!C457, "")</f>
        <v/>
      </c>
      <c r="D459">
        <f>IF(A459&lt;&gt;"", NF!D457, "")</f>
        <v/>
      </c>
      <c r="E459">
        <f>IF(A459&lt;&gt;"", XLOOKUP(A459, Extrato!$D:$D, Extrato!$A:$A, ""), "")</f>
        <v/>
      </c>
      <c r="F459">
        <f>IF(A459&lt;&gt;"", XLOOKUP(A459, Extrato!$D:$D, Extrato!$B:$B, ""), "")</f>
        <v/>
      </c>
      <c r="G459">
        <f>IF(A459&lt;&gt;"", XLOOKUP(A459, Extrato!$D:$D, Extrato!$C:$C, ""), "")</f>
        <v/>
      </c>
      <c r="H459">
        <f>IF(A459="", "", IF(E459="", "Pendente", IF(C459=G459, "OK", "Valor divergente")))</f>
        <v/>
      </c>
    </row>
    <row r="460">
      <c r="A460">
        <f>IF(NF!A458&lt;&gt;"", NF!A458, "")</f>
        <v/>
      </c>
      <c r="B460">
        <f>IF(A460&lt;&gt;"", NF!B458, "")</f>
        <v/>
      </c>
      <c r="C460">
        <f>IF(A460&lt;&gt;"", NF!C458, "")</f>
        <v/>
      </c>
      <c r="D460">
        <f>IF(A460&lt;&gt;"", NF!D458, "")</f>
        <v/>
      </c>
      <c r="E460">
        <f>IF(A460&lt;&gt;"", XLOOKUP(A460, Extrato!$D:$D, Extrato!$A:$A, ""), "")</f>
        <v/>
      </c>
      <c r="F460">
        <f>IF(A460&lt;&gt;"", XLOOKUP(A460, Extrato!$D:$D, Extrato!$B:$B, ""), "")</f>
        <v/>
      </c>
      <c r="G460">
        <f>IF(A460&lt;&gt;"", XLOOKUP(A460, Extrato!$D:$D, Extrato!$C:$C, ""), "")</f>
        <v/>
      </c>
      <c r="H460">
        <f>IF(A460="", "", IF(E460="", "Pendente", IF(C460=G460, "OK", "Valor divergente")))</f>
        <v/>
      </c>
    </row>
    <row r="461">
      <c r="A461">
        <f>IF(NF!A459&lt;&gt;"", NF!A459, "")</f>
        <v/>
      </c>
      <c r="B461">
        <f>IF(A461&lt;&gt;"", NF!B459, "")</f>
        <v/>
      </c>
      <c r="C461">
        <f>IF(A461&lt;&gt;"", NF!C459, "")</f>
        <v/>
      </c>
      <c r="D461">
        <f>IF(A461&lt;&gt;"", NF!D459, "")</f>
        <v/>
      </c>
      <c r="E461">
        <f>IF(A461&lt;&gt;"", XLOOKUP(A461, Extrato!$D:$D, Extrato!$A:$A, ""), "")</f>
        <v/>
      </c>
      <c r="F461">
        <f>IF(A461&lt;&gt;"", XLOOKUP(A461, Extrato!$D:$D, Extrato!$B:$B, ""), "")</f>
        <v/>
      </c>
      <c r="G461">
        <f>IF(A461&lt;&gt;"", XLOOKUP(A461, Extrato!$D:$D, Extrato!$C:$C, ""), "")</f>
        <v/>
      </c>
      <c r="H461">
        <f>IF(A461="", "", IF(E461="", "Pendente", IF(C461=G461, "OK", "Valor divergente")))</f>
        <v/>
      </c>
    </row>
    <row r="462">
      <c r="A462">
        <f>IF(NF!A460&lt;&gt;"", NF!A460, "")</f>
        <v/>
      </c>
      <c r="B462">
        <f>IF(A462&lt;&gt;"", NF!B460, "")</f>
        <v/>
      </c>
      <c r="C462">
        <f>IF(A462&lt;&gt;"", NF!C460, "")</f>
        <v/>
      </c>
      <c r="D462">
        <f>IF(A462&lt;&gt;"", NF!D460, "")</f>
        <v/>
      </c>
      <c r="E462">
        <f>IF(A462&lt;&gt;"", XLOOKUP(A462, Extrato!$D:$D, Extrato!$A:$A, ""), "")</f>
        <v/>
      </c>
      <c r="F462">
        <f>IF(A462&lt;&gt;"", XLOOKUP(A462, Extrato!$D:$D, Extrato!$B:$B, ""), "")</f>
        <v/>
      </c>
      <c r="G462">
        <f>IF(A462&lt;&gt;"", XLOOKUP(A462, Extrato!$D:$D, Extrato!$C:$C, ""), "")</f>
        <v/>
      </c>
      <c r="H462">
        <f>IF(A462="", "", IF(E462="", "Pendente", IF(C462=G462, "OK", "Valor divergente")))</f>
        <v/>
      </c>
    </row>
    <row r="463">
      <c r="A463">
        <f>IF(NF!A461&lt;&gt;"", NF!A461, "")</f>
        <v/>
      </c>
      <c r="B463">
        <f>IF(A463&lt;&gt;"", NF!B461, "")</f>
        <v/>
      </c>
      <c r="C463">
        <f>IF(A463&lt;&gt;"", NF!C461, "")</f>
        <v/>
      </c>
      <c r="D463">
        <f>IF(A463&lt;&gt;"", NF!D461, "")</f>
        <v/>
      </c>
      <c r="E463">
        <f>IF(A463&lt;&gt;"", XLOOKUP(A463, Extrato!$D:$D, Extrato!$A:$A, ""), "")</f>
        <v/>
      </c>
      <c r="F463">
        <f>IF(A463&lt;&gt;"", XLOOKUP(A463, Extrato!$D:$D, Extrato!$B:$B, ""), "")</f>
        <v/>
      </c>
      <c r="G463">
        <f>IF(A463&lt;&gt;"", XLOOKUP(A463, Extrato!$D:$D, Extrato!$C:$C, ""), "")</f>
        <v/>
      </c>
      <c r="H463">
        <f>IF(A463="", "", IF(E463="", "Pendente", IF(C463=G463, "OK", "Valor divergente")))</f>
        <v/>
      </c>
    </row>
    <row r="464">
      <c r="A464">
        <f>IF(NF!A462&lt;&gt;"", NF!A462, "")</f>
        <v/>
      </c>
      <c r="B464">
        <f>IF(A464&lt;&gt;"", NF!B462, "")</f>
        <v/>
      </c>
      <c r="C464">
        <f>IF(A464&lt;&gt;"", NF!C462, "")</f>
        <v/>
      </c>
      <c r="D464">
        <f>IF(A464&lt;&gt;"", NF!D462, "")</f>
        <v/>
      </c>
      <c r="E464">
        <f>IF(A464&lt;&gt;"", XLOOKUP(A464, Extrato!$D:$D, Extrato!$A:$A, ""), "")</f>
        <v/>
      </c>
      <c r="F464">
        <f>IF(A464&lt;&gt;"", XLOOKUP(A464, Extrato!$D:$D, Extrato!$B:$B, ""), "")</f>
        <v/>
      </c>
      <c r="G464">
        <f>IF(A464&lt;&gt;"", XLOOKUP(A464, Extrato!$D:$D, Extrato!$C:$C, ""), "")</f>
        <v/>
      </c>
      <c r="H464">
        <f>IF(A464="", "", IF(E464="", "Pendente", IF(C464=G464, "OK", "Valor divergente")))</f>
        <v/>
      </c>
    </row>
    <row r="465">
      <c r="A465">
        <f>IF(NF!A463&lt;&gt;"", NF!A463, "")</f>
        <v/>
      </c>
      <c r="B465">
        <f>IF(A465&lt;&gt;"", NF!B463, "")</f>
        <v/>
      </c>
      <c r="C465">
        <f>IF(A465&lt;&gt;"", NF!C463, "")</f>
        <v/>
      </c>
      <c r="D465">
        <f>IF(A465&lt;&gt;"", NF!D463, "")</f>
        <v/>
      </c>
      <c r="E465">
        <f>IF(A465&lt;&gt;"", XLOOKUP(A465, Extrato!$D:$D, Extrato!$A:$A, ""), "")</f>
        <v/>
      </c>
      <c r="F465">
        <f>IF(A465&lt;&gt;"", XLOOKUP(A465, Extrato!$D:$D, Extrato!$B:$B, ""), "")</f>
        <v/>
      </c>
      <c r="G465">
        <f>IF(A465&lt;&gt;"", XLOOKUP(A465, Extrato!$D:$D, Extrato!$C:$C, ""), "")</f>
        <v/>
      </c>
      <c r="H465">
        <f>IF(A465="", "", IF(E465="", "Pendente", IF(C465=G465, "OK", "Valor divergente")))</f>
        <v/>
      </c>
    </row>
    <row r="466">
      <c r="A466">
        <f>IF(NF!A464&lt;&gt;"", NF!A464, "")</f>
        <v/>
      </c>
      <c r="B466">
        <f>IF(A466&lt;&gt;"", NF!B464, "")</f>
        <v/>
      </c>
      <c r="C466">
        <f>IF(A466&lt;&gt;"", NF!C464, "")</f>
        <v/>
      </c>
      <c r="D466">
        <f>IF(A466&lt;&gt;"", NF!D464, "")</f>
        <v/>
      </c>
      <c r="E466">
        <f>IF(A466&lt;&gt;"", XLOOKUP(A466, Extrato!$D:$D, Extrato!$A:$A, ""), "")</f>
        <v/>
      </c>
      <c r="F466">
        <f>IF(A466&lt;&gt;"", XLOOKUP(A466, Extrato!$D:$D, Extrato!$B:$B, ""), "")</f>
        <v/>
      </c>
      <c r="G466">
        <f>IF(A466&lt;&gt;"", XLOOKUP(A466, Extrato!$D:$D, Extrato!$C:$C, ""), "")</f>
        <v/>
      </c>
      <c r="H466">
        <f>IF(A466="", "", IF(E466="", "Pendente", IF(C466=G466, "OK", "Valor divergente")))</f>
        <v/>
      </c>
    </row>
    <row r="467">
      <c r="A467">
        <f>IF(NF!A465&lt;&gt;"", NF!A465, "")</f>
        <v/>
      </c>
      <c r="B467">
        <f>IF(A467&lt;&gt;"", NF!B465, "")</f>
        <v/>
      </c>
      <c r="C467">
        <f>IF(A467&lt;&gt;"", NF!C465, "")</f>
        <v/>
      </c>
      <c r="D467">
        <f>IF(A467&lt;&gt;"", NF!D465, "")</f>
        <v/>
      </c>
      <c r="E467">
        <f>IF(A467&lt;&gt;"", XLOOKUP(A467, Extrato!$D:$D, Extrato!$A:$A, ""), "")</f>
        <v/>
      </c>
      <c r="F467">
        <f>IF(A467&lt;&gt;"", XLOOKUP(A467, Extrato!$D:$D, Extrato!$B:$B, ""), "")</f>
        <v/>
      </c>
      <c r="G467">
        <f>IF(A467&lt;&gt;"", XLOOKUP(A467, Extrato!$D:$D, Extrato!$C:$C, ""), "")</f>
        <v/>
      </c>
      <c r="H467">
        <f>IF(A467="", "", IF(E467="", "Pendente", IF(C467=G467, "OK", "Valor divergente")))</f>
        <v/>
      </c>
    </row>
    <row r="468">
      <c r="A468">
        <f>IF(NF!A466&lt;&gt;"", NF!A466, "")</f>
        <v/>
      </c>
      <c r="B468">
        <f>IF(A468&lt;&gt;"", NF!B466, "")</f>
        <v/>
      </c>
      <c r="C468">
        <f>IF(A468&lt;&gt;"", NF!C466, "")</f>
        <v/>
      </c>
      <c r="D468">
        <f>IF(A468&lt;&gt;"", NF!D466, "")</f>
        <v/>
      </c>
      <c r="E468">
        <f>IF(A468&lt;&gt;"", XLOOKUP(A468, Extrato!$D:$D, Extrato!$A:$A, ""), "")</f>
        <v/>
      </c>
      <c r="F468">
        <f>IF(A468&lt;&gt;"", XLOOKUP(A468, Extrato!$D:$D, Extrato!$B:$B, ""), "")</f>
        <v/>
      </c>
      <c r="G468">
        <f>IF(A468&lt;&gt;"", XLOOKUP(A468, Extrato!$D:$D, Extrato!$C:$C, ""), "")</f>
        <v/>
      </c>
      <c r="H468">
        <f>IF(A468="", "", IF(E468="", "Pendente", IF(C468=G468, "OK", "Valor divergente")))</f>
        <v/>
      </c>
    </row>
    <row r="469">
      <c r="A469">
        <f>IF(NF!A467&lt;&gt;"", NF!A467, "")</f>
        <v/>
      </c>
      <c r="B469">
        <f>IF(A469&lt;&gt;"", NF!B467, "")</f>
        <v/>
      </c>
      <c r="C469">
        <f>IF(A469&lt;&gt;"", NF!C467, "")</f>
        <v/>
      </c>
      <c r="D469">
        <f>IF(A469&lt;&gt;"", NF!D467, "")</f>
        <v/>
      </c>
      <c r="E469">
        <f>IF(A469&lt;&gt;"", XLOOKUP(A469, Extrato!$D:$D, Extrato!$A:$A, ""), "")</f>
        <v/>
      </c>
      <c r="F469">
        <f>IF(A469&lt;&gt;"", XLOOKUP(A469, Extrato!$D:$D, Extrato!$B:$B, ""), "")</f>
        <v/>
      </c>
      <c r="G469">
        <f>IF(A469&lt;&gt;"", XLOOKUP(A469, Extrato!$D:$D, Extrato!$C:$C, ""), "")</f>
        <v/>
      </c>
      <c r="H469">
        <f>IF(A469="", "", IF(E469="", "Pendente", IF(C469=G469, "OK", "Valor divergente")))</f>
        <v/>
      </c>
    </row>
    <row r="470">
      <c r="A470">
        <f>IF(NF!A468&lt;&gt;"", NF!A468, "")</f>
        <v/>
      </c>
      <c r="B470">
        <f>IF(A470&lt;&gt;"", NF!B468, "")</f>
        <v/>
      </c>
      <c r="C470">
        <f>IF(A470&lt;&gt;"", NF!C468, "")</f>
        <v/>
      </c>
      <c r="D470">
        <f>IF(A470&lt;&gt;"", NF!D468, "")</f>
        <v/>
      </c>
      <c r="E470">
        <f>IF(A470&lt;&gt;"", XLOOKUP(A470, Extrato!$D:$D, Extrato!$A:$A, ""), "")</f>
        <v/>
      </c>
      <c r="F470">
        <f>IF(A470&lt;&gt;"", XLOOKUP(A470, Extrato!$D:$D, Extrato!$B:$B, ""), "")</f>
        <v/>
      </c>
      <c r="G470">
        <f>IF(A470&lt;&gt;"", XLOOKUP(A470, Extrato!$D:$D, Extrato!$C:$C, ""), "")</f>
        <v/>
      </c>
      <c r="H470">
        <f>IF(A470="", "", IF(E470="", "Pendente", IF(C470=G470, "OK", "Valor divergente")))</f>
        <v/>
      </c>
    </row>
    <row r="471">
      <c r="A471">
        <f>IF(NF!A469&lt;&gt;"", NF!A469, "")</f>
        <v/>
      </c>
      <c r="B471">
        <f>IF(A471&lt;&gt;"", NF!B469, "")</f>
        <v/>
      </c>
      <c r="C471">
        <f>IF(A471&lt;&gt;"", NF!C469, "")</f>
        <v/>
      </c>
      <c r="D471">
        <f>IF(A471&lt;&gt;"", NF!D469, "")</f>
        <v/>
      </c>
      <c r="E471">
        <f>IF(A471&lt;&gt;"", XLOOKUP(A471, Extrato!$D:$D, Extrato!$A:$A, ""), "")</f>
        <v/>
      </c>
      <c r="F471">
        <f>IF(A471&lt;&gt;"", XLOOKUP(A471, Extrato!$D:$D, Extrato!$B:$B, ""), "")</f>
        <v/>
      </c>
      <c r="G471">
        <f>IF(A471&lt;&gt;"", XLOOKUP(A471, Extrato!$D:$D, Extrato!$C:$C, ""), "")</f>
        <v/>
      </c>
      <c r="H471">
        <f>IF(A471="", "", IF(E471="", "Pendente", IF(C471=G471, "OK", "Valor divergente")))</f>
        <v/>
      </c>
    </row>
    <row r="472">
      <c r="A472">
        <f>IF(NF!A470&lt;&gt;"", NF!A470, "")</f>
        <v/>
      </c>
      <c r="B472">
        <f>IF(A472&lt;&gt;"", NF!B470, "")</f>
        <v/>
      </c>
      <c r="C472">
        <f>IF(A472&lt;&gt;"", NF!C470, "")</f>
        <v/>
      </c>
      <c r="D472">
        <f>IF(A472&lt;&gt;"", NF!D470, "")</f>
        <v/>
      </c>
      <c r="E472">
        <f>IF(A472&lt;&gt;"", XLOOKUP(A472, Extrato!$D:$D, Extrato!$A:$A, ""), "")</f>
        <v/>
      </c>
      <c r="F472">
        <f>IF(A472&lt;&gt;"", XLOOKUP(A472, Extrato!$D:$D, Extrato!$B:$B, ""), "")</f>
        <v/>
      </c>
      <c r="G472">
        <f>IF(A472&lt;&gt;"", XLOOKUP(A472, Extrato!$D:$D, Extrato!$C:$C, ""), "")</f>
        <v/>
      </c>
      <c r="H472">
        <f>IF(A472="", "", IF(E472="", "Pendente", IF(C472=G472, "OK", "Valor divergente")))</f>
        <v/>
      </c>
    </row>
    <row r="473">
      <c r="A473">
        <f>IF(NF!A471&lt;&gt;"", NF!A471, "")</f>
        <v/>
      </c>
      <c r="B473">
        <f>IF(A473&lt;&gt;"", NF!B471, "")</f>
        <v/>
      </c>
      <c r="C473">
        <f>IF(A473&lt;&gt;"", NF!C471, "")</f>
        <v/>
      </c>
      <c r="D473">
        <f>IF(A473&lt;&gt;"", NF!D471, "")</f>
        <v/>
      </c>
      <c r="E473">
        <f>IF(A473&lt;&gt;"", XLOOKUP(A473, Extrato!$D:$D, Extrato!$A:$A, ""), "")</f>
        <v/>
      </c>
      <c r="F473">
        <f>IF(A473&lt;&gt;"", XLOOKUP(A473, Extrato!$D:$D, Extrato!$B:$B, ""), "")</f>
        <v/>
      </c>
      <c r="G473">
        <f>IF(A473&lt;&gt;"", XLOOKUP(A473, Extrato!$D:$D, Extrato!$C:$C, ""), "")</f>
        <v/>
      </c>
      <c r="H473">
        <f>IF(A473="", "", IF(E473="", "Pendente", IF(C473=G473, "OK", "Valor divergente")))</f>
        <v/>
      </c>
    </row>
    <row r="474">
      <c r="A474">
        <f>IF(NF!A472&lt;&gt;"", NF!A472, "")</f>
        <v/>
      </c>
      <c r="B474">
        <f>IF(A474&lt;&gt;"", NF!B472, "")</f>
        <v/>
      </c>
      <c r="C474">
        <f>IF(A474&lt;&gt;"", NF!C472, "")</f>
        <v/>
      </c>
      <c r="D474">
        <f>IF(A474&lt;&gt;"", NF!D472, "")</f>
        <v/>
      </c>
      <c r="E474">
        <f>IF(A474&lt;&gt;"", XLOOKUP(A474, Extrato!$D:$D, Extrato!$A:$A, ""), "")</f>
        <v/>
      </c>
      <c r="F474">
        <f>IF(A474&lt;&gt;"", XLOOKUP(A474, Extrato!$D:$D, Extrato!$B:$B, ""), "")</f>
        <v/>
      </c>
      <c r="G474">
        <f>IF(A474&lt;&gt;"", XLOOKUP(A474, Extrato!$D:$D, Extrato!$C:$C, ""), "")</f>
        <v/>
      </c>
      <c r="H474">
        <f>IF(A474="", "", IF(E474="", "Pendente", IF(C474=G474, "OK", "Valor divergente")))</f>
        <v/>
      </c>
    </row>
    <row r="475">
      <c r="A475">
        <f>IF(NF!A473&lt;&gt;"", NF!A473, "")</f>
        <v/>
      </c>
      <c r="B475">
        <f>IF(A475&lt;&gt;"", NF!B473, "")</f>
        <v/>
      </c>
      <c r="C475">
        <f>IF(A475&lt;&gt;"", NF!C473, "")</f>
        <v/>
      </c>
      <c r="D475">
        <f>IF(A475&lt;&gt;"", NF!D473, "")</f>
        <v/>
      </c>
      <c r="E475">
        <f>IF(A475&lt;&gt;"", XLOOKUP(A475, Extrato!$D:$D, Extrato!$A:$A, ""), "")</f>
        <v/>
      </c>
      <c r="F475">
        <f>IF(A475&lt;&gt;"", XLOOKUP(A475, Extrato!$D:$D, Extrato!$B:$B, ""), "")</f>
        <v/>
      </c>
      <c r="G475">
        <f>IF(A475&lt;&gt;"", XLOOKUP(A475, Extrato!$D:$D, Extrato!$C:$C, ""), "")</f>
        <v/>
      </c>
      <c r="H475">
        <f>IF(A475="", "", IF(E475="", "Pendente", IF(C475=G475, "OK", "Valor divergente")))</f>
        <v/>
      </c>
    </row>
    <row r="476">
      <c r="A476">
        <f>IF(NF!A474&lt;&gt;"", NF!A474, "")</f>
        <v/>
      </c>
      <c r="B476">
        <f>IF(A476&lt;&gt;"", NF!B474, "")</f>
        <v/>
      </c>
      <c r="C476">
        <f>IF(A476&lt;&gt;"", NF!C474, "")</f>
        <v/>
      </c>
      <c r="D476">
        <f>IF(A476&lt;&gt;"", NF!D474, "")</f>
        <v/>
      </c>
      <c r="E476">
        <f>IF(A476&lt;&gt;"", XLOOKUP(A476, Extrato!$D:$D, Extrato!$A:$A, ""), "")</f>
        <v/>
      </c>
      <c r="F476">
        <f>IF(A476&lt;&gt;"", XLOOKUP(A476, Extrato!$D:$D, Extrato!$B:$B, ""), "")</f>
        <v/>
      </c>
      <c r="G476">
        <f>IF(A476&lt;&gt;"", XLOOKUP(A476, Extrato!$D:$D, Extrato!$C:$C, ""), "")</f>
        <v/>
      </c>
      <c r="H476">
        <f>IF(A476="", "", IF(E476="", "Pendente", IF(C476=G476, "OK", "Valor divergente")))</f>
        <v/>
      </c>
    </row>
    <row r="477">
      <c r="A477">
        <f>IF(NF!A475&lt;&gt;"", NF!A475, "")</f>
        <v/>
      </c>
      <c r="B477">
        <f>IF(A477&lt;&gt;"", NF!B475, "")</f>
        <v/>
      </c>
      <c r="C477">
        <f>IF(A477&lt;&gt;"", NF!C475, "")</f>
        <v/>
      </c>
      <c r="D477">
        <f>IF(A477&lt;&gt;"", NF!D475, "")</f>
        <v/>
      </c>
      <c r="E477">
        <f>IF(A477&lt;&gt;"", XLOOKUP(A477, Extrato!$D:$D, Extrato!$A:$A, ""), "")</f>
        <v/>
      </c>
      <c r="F477">
        <f>IF(A477&lt;&gt;"", XLOOKUP(A477, Extrato!$D:$D, Extrato!$B:$B, ""), "")</f>
        <v/>
      </c>
      <c r="G477">
        <f>IF(A477&lt;&gt;"", XLOOKUP(A477, Extrato!$D:$D, Extrato!$C:$C, ""), "")</f>
        <v/>
      </c>
      <c r="H477">
        <f>IF(A477="", "", IF(E477="", "Pendente", IF(C477=G477, "OK", "Valor divergente")))</f>
        <v/>
      </c>
    </row>
    <row r="478">
      <c r="A478">
        <f>IF(NF!A476&lt;&gt;"", NF!A476, "")</f>
        <v/>
      </c>
      <c r="B478">
        <f>IF(A478&lt;&gt;"", NF!B476, "")</f>
        <v/>
      </c>
      <c r="C478">
        <f>IF(A478&lt;&gt;"", NF!C476, "")</f>
        <v/>
      </c>
      <c r="D478">
        <f>IF(A478&lt;&gt;"", NF!D476, "")</f>
        <v/>
      </c>
      <c r="E478">
        <f>IF(A478&lt;&gt;"", XLOOKUP(A478, Extrato!$D:$D, Extrato!$A:$A, ""), "")</f>
        <v/>
      </c>
      <c r="F478">
        <f>IF(A478&lt;&gt;"", XLOOKUP(A478, Extrato!$D:$D, Extrato!$B:$B, ""), "")</f>
        <v/>
      </c>
      <c r="G478">
        <f>IF(A478&lt;&gt;"", XLOOKUP(A478, Extrato!$D:$D, Extrato!$C:$C, ""), "")</f>
        <v/>
      </c>
      <c r="H478">
        <f>IF(A478="", "", IF(E478="", "Pendente", IF(C478=G478, "OK", "Valor divergente")))</f>
        <v/>
      </c>
    </row>
    <row r="479">
      <c r="A479">
        <f>IF(NF!A477&lt;&gt;"", NF!A477, "")</f>
        <v/>
      </c>
      <c r="B479">
        <f>IF(A479&lt;&gt;"", NF!B477, "")</f>
        <v/>
      </c>
      <c r="C479">
        <f>IF(A479&lt;&gt;"", NF!C477, "")</f>
        <v/>
      </c>
      <c r="D479">
        <f>IF(A479&lt;&gt;"", NF!D477, "")</f>
        <v/>
      </c>
      <c r="E479">
        <f>IF(A479&lt;&gt;"", XLOOKUP(A479, Extrato!$D:$D, Extrato!$A:$A, ""), "")</f>
        <v/>
      </c>
      <c r="F479">
        <f>IF(A479&lt;&gt;"", XLOOKUP(A479, Extrato!$D:$D, Extrato!$B:$B, ""), "")</f>
        <v/>
      </c>
      <c r="G479">
        <f>IF(A479&lt;&gt;"", XLOOKUP(A479, Extrato!$D:$D, Extrato!$C:$C, ""), "")</f>
        <v/>
      </c>
      <c r="H479">
        <f>IF(A479="", "", IF(E479="", "Pendente", IF(C479=G479, "OK", "Valor divergente")))</f>
        <v/>
      </c>
    </row>
    <row r="480">
      <c r="A480">
        <f>IF(NF!A478&lt;&gt;"", NF!A478, "")</f>
        <v/>
      </c>
      <c r="B480">
        <f>IF(A480&lt;&gt;"", NF!B478, "")</f>
        <v/>
      </c>
      <c r="C480">
        <f>IF(A480&lt;&gt;"", NF!C478, "")</f>
        <v/>
      </c>
      <c r="D480">
        <f>IF(A480&lt;&gt;"", NF!D478, "")</f>
        <v/>
      </c>
      <c r="E480">
        <f>IF(A480&lt;&gt;"", XLOOKUP(A480, Extrato!$D:$D, Extrato!$A:$A, ""), "")</f>
        <v/>
      </c>
      <c r="F480">
        <f>IF(A480&lt;&gt;"", XLOOKUP(A480, Extrato!$D:$D, Extrato!$B:$B, ""), "")</f>
        <v/>
      </c>
      <c r="G480">
        <f>IF(A480&lt;&gt;"", XLOOKUP(A480, Extrato!$D:$D, Extrato!$C:$C, ""), "")</f>
        <v/>
      </c>
      <c r="H480">
        <f>IF(A480="", "", IF(E480="", "Pendente", IF(C480=G480, "OK", "Valor divergente")))</f>
        <v/>
      </c>
    </row>
    <row r="481">
      <c r="A481">
        <f>IF(NF!A479&lt;&gt;"", NF!A479, "")</f>
        <v/>
      </c>
      <c r="B481">
        <f>IF(A481&lt;&gt;"", NF!B479, "")</f>
        <v/>
      </c>
      <c r="C481">
        <f>IF(A481&lt;&gt;"", NF!C479, "")</f>
        <v/>
      </c>
      <c r="D481">
        <f>IF(A481&lt;&gt;"", NF!D479, "")</f>
        <v/>
      </c>
      <c r="E481">
        <f>IF(A481&lt;&gt;"", XLOOKUP(A481, Extrato!$D:$D, Extrato!$A:$A, ""), "")</f>
        <v/>
      </c>
      <c r="F481">
        <f>IF(A481&lt;&gt;"", XLOOKUP(A481, Extrato!$D:$D, Extrato!$B:$B, ""), "")</f>
        <v/>
      </c>
      <c r="G481">
        <f>IF(A481&lt;&gt;"", XLOOKUP(A481, Extrato!$D:$D, Extrato!$C:$C, ""), "")</f>
        <v/>
      </c>
      <c r="H481">
        <f>IF(A481="", "", IF(E481="", "Pendente", IF(C481=G481, "OK", "Valor divergente")))</f>
        <v/>
      </c>
    </row>
    <row r="482">
      <c r="A482">
        <f>IF(NF!A480&lt;&gt;"", NF!A480, "")</f>
        <v/>
      </c>
      <c r="B482">
        <f>IF(A482&lt;&gt;"", NF!B480, "")</f>
        <v/>
      </c>
      <c r="C482">
        <f>IF(A482&lt;&gt;"", NF!C480, "")</f>
        <v/>
      </c>
      <c r="D482">
        <f>IF(A482&lt;&gt;"", NF!D480, "")</f>
        <v/>
      </c>
      <c r="E482">
        <f>IF(A482&lt;&gt;"", XLOOKUP(A482, Extrato!$D:$D, Extrato!$A:$A, ""), "")</f>
        <v/>
      </c>
      <c r="F482">
        <f>IF(A482&lt;&gt;"", XLOOKUP(A482, Extrato!$D:$D, Extrato!$B:$B, ""), "")</f>
        <v/>
      </c>
      <c r="G482">
        <f>IF(A482&lt;&gt;"", XLOOKUP(A482, Extrato!$D:$D, Extrato!$C:$C, ""), "")</f>
        <v/>
      </c>
      <c r="H482">
        <f>IF(A482="", "", IF(E482="", "Pendente", IF(C482=G482, "OK", "Valor divergente")))</f>
        <v/>
      </c>
    </row>
    <row r="483">
      <c r="A483">
        <f>IF(NF!A481&lt;&gt;"", NF!A481, "")</f>
        <v/>
      </c>
      <c r="B483">
        <f>IF(A483&lt;&gt;"", NF!B481, "")</f>
        <v/>
      </c>
      <c r="C483">
        <f>IF(A483&lt;&gt;"", NF!C481, "")</f>
        <v/>
      </c>
      <c r="D483">
        <f>IF(A483&lt;&gt;"", NF!D481, "")</f>
        <v/>
      </c>
      <c r="E483">
        <f>IF(A483&lt;&gt;"", XLOOKUP(A483, Extrato!$D:$D, Extrato!$A:$A, ""), "")</f>
        <v/>
      </c>
      <c r="F483">
        <f>IF(A483&lt;&gt;"", XLOOKUP(A483, Extrato!$D:$D, Extrato!$B:$B, ""), "")</f>
        <v/>
      </c>
      <c r="G483">
        <f>IF(A483&lt;&gt;"", XLOOKUP(A483, Extrato!$D:$D, Extrato!$C:$C, ""), "")</f>
        <v/>
      </c>
      <c r="H483">
        <f>IF(A483="", "", IF(E483="", "Pendente", IF(C483=G483, "OK", "Valor divergente")))</f>
        <v/>
      </c>
    </row>
    <row r="484">
      <c r="A484">
        <f>IF(NF!A482&lt;&gt;"", NF!A482, "")</f>
        <v/>
      </c>
      <c r="B484">
        <f>IF(A484&lt;&gt;"", NF!B482, "")</f>
        <v/>
      </c>
      <c r="C484">
        <f>IF(A484&lt;&gt;"", NF!C482, "")</f>
        <v/>
      </c>
      <c r="D484">
        <f>IF(A484&lt;&gt;"", NF!D482, "")</f>
        <v/>
      </c>
      <c r="E484">
        <f>IF(A484&lt;&gt;"", XLOOKUP(A484, Extrato!$D:$D, Extrato!$A:$A, ""), "")</f>
        <v/>
      </c>
      <c r="F484">
        <f>IF(A484&lt;&gt;"", XLOOKUP(A484, Extrato!$D:$D, Extrato!$B:$B, ""), "")</f>
        <v/>
      </c>
      <c r="G484">
        <f>IF(A484&lt;&gt;"", XLOOKUP(A484, Extrato!$D:$D, Extrato!$C:$C, ""), "")</f>
        <v/>
      </c>
      <c r="H484">
        <f>IF(A484="", "", IF(E484="", "Pendente", IF(C484=G484, "OK", "Valor divergente")))</f>
        <v/>
      </c>
    </row>
    <row r="485">
      <c r="A485">
        <f>IF(NF!A483&lt;&gt;"", NF!A483, "")</f>
        <v/>
      </c>
      <c r="B485">
        <f>IF(A485&lt;&gt;"", NF!B483, "")</f>
        <v/>
      </c>
      <c r="C485">
        <f>IF(A485&lt;&gt;"", NF!C483, "")</f>
        <v/>
      </c>
      <c r="D485">
        <f>IF(A485&lt;&gt;"", NF!D483, "")</f>
        <v/>
      </c>
      <c r="E485">
        <f>IF(A485&lt;&gt;"", XLOOKUP(A485, Extrato!$D:$D, Extrato!$A:$A, ""), "")</f>
        <v/>
      </c>
      <c r="F485">
        <f>IF(A485&lt;&gt;"", XLOOKUP(A485, Extrato!$D:$D, Extrato!$B:$B, ""), "")</f>
        <v/>
      </c>
      <c r="G485">
        <f>IF(A485&lt;&gt;"", XLOOKUP(A485, Extrato!$D:$D, Extrato!$C:$C, ""), "")</f>
        <v/>
      </c>
      <c r="H485">
        <f>IF(A485="", "", IF(E485="", "Pendente", IF(C485=G485, "OK", "Valor divergente")))</f>
        <v/>
      </c>
    </row>
    <row r="486">
      <c r="A486">
        <f>IF(NF!A484&lt;&gt;"", NF!A484, "")</f>
        <v/>
      </c>
      <c r="B486">
        <f>IF(A486&lt;&gt;"", NF!B484, "")</f>
        <v/>
      </c>
      <c r="C486">
        <f>IF(A486&lt;&gt;"", NF!C484, "")</f>
        <v/>
      </c>
      <c r="D486">
        <f>IF(A486&lt;&gt;"", NF!D484, "")</f>
        <v/>
      </c>
      <c r="E486">
        <f>IF(A486&lt;&gt;"", XLOOKUP(A486, Extrato!$D:$D, Extrato!$A:$A, ""), "")</f>
        <v/>
      </c>
      <c r="F486">
        <f>IF(A486&lt;&gt;"", XLOOKUP(A486, Extrato!$D:$D, Extrato!$B:$B, ""), "")</f>
        <v/>
      </c>
      <c r="G486">
        <f>IF(A486&lt;&gt;"", XLOOKUP(A486, Extrato!$D:$D, Extrato!$C:$C, ""), "")</f>
        <v/>
      </c>
      <c r="H486">
        <f>IF(A486="", "", IF(E486="", "Pendente", IF(C486=G486, "OK", "Valor divergente")))</f>
        <v/>
      </c>
    </row>
    <row r="487">
      <c r="A487">
        <f>IF(NF!A485&lt;&gt;"", NF!A485, "")</f>
        <v/>
      </c>
      <c r="B487">
        <f>IF(A487&lt;&gt;"", NF!B485, "")</f>
        <v/>
      </c>
      <c r="C487">
        <f>IF(A487&lt;&gt;"", NF!C485, "")</f>
        <v/>
      </c>
      <c r="D487">
        <f>IF(A487&lt;&gt;"", NF!D485, "")</f>
        <v/>
      </c>
      <c r="E487">
        <f>IF(A487&lt;&gt;"", XLOOKUP(A487, Extrato!$D:$D, Extrato!$A:$A, ""), "")</f>
        <v/>
      </c>
      <c r="F487">
        <f>IF(A487&lt;&gt;"", XLOOKUP(A487, Extrato!$D:$D, Extrato!$B:$B, ""), "")</f>
        <v/>
      </c>
      <c r="G487">
        <f>IF(A487&lt;&gt;"", XLOOKUP(A487, Extrato!$D:$D, Extrato!$C:$C, ""), "")</f>
        <v/>
      </c>
      <c r="H487">
        <f>IF(A487="", "", IF(E487="", "Pendente", IF(C487=G487, "OK", "Valor divergente")))</f>
        <v/>
      </c>
    </row>
    <row r="488">
      <c r="A488">
        <f>IF(NF!A486&lt;&gt;"", NF!A486, "")</f>
        <v/>
      </c>
      <c r="B488">
        <f>IF(A488&lt;&gt;"", NF!B486, "")</f>
        <v/>
      </c>
      <c r="C488">
        <f>IF(A488&lt;&gt;"", NF!C486, "")</f>
        <v/>
      </c>
      <c r="D488">
        <f>IF(A488&lt;&gt;"", NF!D486, "")</f>
        <v/>
      </c>
      <c r="E488">
        <f>IF(A488&lt;&gt;"", XLOOKUP(A488, Extrato!$D:$D, Extrato!$A:$A, ""), "")</f>
        <v/>
      </c>
      <c r="F488">
        <f>IF(A488&lt;&gt;"", XLOOKUP(A488, Extrato!$D:$D, Extrato!$B:$B, ""), "")</f>
        <v/>
      </c>
      <c r="G488">
        <f>IF(A488&lt;&gt;"", XLOOKUP(A488, Extrato!$D:$D, Extrato!$C:$C, ""), "")</f>
        <v/>
      </c>
      <c r="H488">
        <f>IF(A488="", "", IF(E488="", "Pendente", IF(C488=G488, "OK", "Valor divergente")))</f>
        <v/>
      </c>
    </row>
    <row r="489">
      <c r="A489">
        <f>IF(NF!A487&lt;&gt;"", NF!A487, "")</f>
        <v/>
      </c>
      <c r="B489">
        <f>IF(A489&lt;&gt;"", NF!B487, "")</f>
        <v/>
      </c>
      <c r="C489">
        <f>IF(A489&lt;&gt;"", NF!C487, "")</f>
        <v/>
      </c>
      <c r="D489">
        <f>IF(A489&lt;&gt;"", NF!D487, "")</f>
        <v/>
      </c>
      <c r="E489">
        <f>IF(A489&lt;&gt;"", XLOOKUP(A489, Extrato!$D:$D, Extrato!$A:$A, ""), "")</f>
        <v/>
      </c>
      <c r="F489">
        <f>IF(A489&lt;&gt;"", XLOOKUP(A489, Extrato!$D:$D, Extrato!$B:$B, ""), "")</f>
        <v/>
      </c>
      <c r="G489">
        <f>IF(A489&lt;&gt;"", XLOOKUP(A489, Extrato!$D:$D, Extrato!$C:$C, ""), "")</f>
        <v/>
      </c>
      <c r="H489">
        <f>IF(A489="", "", IF(E489="", "Pendente", IF(C489=G489, "OK", "Valor divergente")))</f>
        <v/>
      </c>
    </row>
    <row r="490">
      <c r="A490">
        <f>IF(NF!A488&lt;&gt;"", NF!A488, "")</f>
        <v/>
      </c>
      <c r="B490">
        <f>IF(A490&lt;&gt;"", NF!B488, "")</f>
        <v/>
      </c>
      <c r="C490">
        <f>IF(A490&lt;&gt;"", NF!C488, "")</f>
        <v/>
      </c>
      <c r="D490">
        <f>IF(A490&lt;&gt;"", NF!D488, "")</f>
        <v/>
      </c>
      <c r="E490">
        <f>IF(A490&lt;&gt;"", XLOOKUP(A490, Extrato!$D:$D, Extrato!$A:$A, ""), "")</f>
        <v/>
      </c>
      <c r="F490">
        <f>IF(A490&lt;&gt;"", XLOOKUP(A490, Extrato!$D:$D, Extrato!$B:$B, ""), "")</f>
        <v/>
      </c>
      <c r="G490">
        <f>IF(A490&lt;&gt;"", XLOOKUP(A490, Extrato!$D:$D, Extrato!$C:$C, ""), "")</f>
        <v/>
      </c>
      <c r="H490">
        <f>IF(A490="", "", IF(E490="", "Pendente", IF(C490=G490, "OK", "Valor divergente")))</f>
        <v/>
      </c>
    </row>
    <row r="491">
      <c r="A491">
        <f>IF(NF!A489&lt;&gt;"", NF!A489, "")</f>
        <v/>
      </c>
      <c r="B491">
        <f>IF(A491&lt;&gt;"", NF!B489, "")</f>
        <v/>
      </c>
      <c r="C491">
        <f>IF(A491&lt;&gt;"", NF!C489, "")</f>
        <v/>
      </c>
      <c r="D491">
        <f>IF(A491&lt;&gt;"", NF!D489, "")</f>
        <v/>
      </c>
      <c r="E491">
        <f>IF(A491&lt;&gt;"", XLOOKUP(A491, Extrato!$D:$D, Extrato!$A:$A, ""), "")</f>
        <v/>
      </c>
      <c r="F491">
        <f>IF(A491&lt;&gt;"", XLOOKUP(A491, Extrato!$D:$D, Extrato!$B:$B, ""), "")</f>
        <v/>
      </c>
      <c r="G491">
        <f>IF(A491&lt;&gt;"", XLOOKUP(A491, Extrato!$D:$D, Extrato!$C:$C, ""), "")</f>
        <v/>
      </c>
      <c r="H491">
        <f>IF(A491="", "", IF(E491="", "Pendente", IF(C491=G491, "OK", "Valor divergente")))</f>
        <v/>
      </c>
    </row>
    <row r="492">
      <c r="A492">
        <f>IF(NF!A490&lt;&gt;"", NF!A490, "")</f>
        <v/>
      </c>
      <c r="B492">
        <f>IF(A492&lt;&gt;"", NF!B490, "")</f>
        <v/>
      </c>
      <c r="C492">
        <f>IF(A492&lt;&gt;"", NF!C490, "")</f>
        <v/>
      </c>
      <c r="D492">
        <f>IF(A492&lt;&gt;"", NF!D490, "")</f>
        <v/>
      </c>
      <c r="E492">
        <f>IF(A492&lt;&gt;"", XLOOKUP(A492, Extrato!$D:$D, Extrato!$A:$A, ""), "")</f>
        <v/>
      </c>
      <c r="F492">
        <f>IF(A492&lt;&gt;"", XLOOKUP(A492, Extrato!$D:$D, Extrato!$B:$B, ""), "")</f>
        <v/>
      </c>
      <c r="G492">
        <f>IF(A492&lt;&gt;"", XLOOKUP(A492, Extrato!$D:$D, Extrato!$C:$C, ""), "")</f>
        <v/>
      </c>
      <c r="H492">
        <f>IF(A492="", "", IF(E492="", "Pendente", IF(C492=G492, "OK", "Valor divergente")))</f>
        <v/>
      </c>
    </row>
    <row r="493">
      <c r="A493">
        <f>IF(NF!A491&lt;&gt;"", NF!A491, "")</f>
        <v/>
      </c>
      <c r="B493">
        <f>IF(A493&lt;&gt;"", NF!B491, "")</f>
        <v/>
      </c>
      <c r="C493">
        <f>IF(A493&lt;&gt;"", NF!C491, "")</f>
        <v/>
      </c>
      <c r="D493">
        <f>IF(A493&lt;&gt;"", NF!D491, "")</f>
        <v/>
      </c>
      <c r="E493">
        <f>IF(A493&lt;&gt;"", XLOOKUP(A493, Extrato!$D:$D, Extrato!$A:$A, ""), "")</f>
        <v/>
      </c>
      <c r="F493">
        <f>IF(A493&lt;&gt;"", XLOOKUP(A493, Extrato!$D:$D, Extrato!$B:$B, ""), "")</f>
        <v/>
      </c>
      <c r="G493">
        <f>IF(A493&lt;&gt;"", XLOOKUP(A493, Extrato!$D:$D, Extrato!$C:$C, ""), "")</f>
        <v/>
      </c>
      <c r="H493">
        <f>IF(A493="", "", IF(E493="", "Pendente", IF(C493=G493, "OK", "Valor divergente")))</f>
        <v/>
      </c>
    </row>
    <row r="494">
      <c r="A494">
        <f>IF(NF!A492&lt;&gt;"", NF!A492, "")</f>
        <v/>
      </c>
      <c r="B494">
        <f>IF(A494&lt;&gt;"", NF!B492, "")</f>
        <v/>
      </c>
      <c r="C494">
        <f>IF(A494&lt;&gt;"", NF!C492, "")</f>
        <v/>
      </c>
      <c r="D494">
        <f>IF(A494&lt;&gt;"", NF!D492, "")</f>
        <v/>
      </c>
      <c r="E494">
        <f>IF(A494&lt;&gt;"", XLOOKUP(A494, Extrato!$D:$D, Extrato!$A:$A, ""), "")</f>
        <v/>
      </c>
      <c r="F494">
        <f>IF(A494&lt;&gt;"", XLOOKUP(A494, Extrato!$D:$D, Extrato!$B:$B, ""), "")</f>
        <v/>
      </c>
      <c r="G494">
        <f>IF(A494&lt;&gt;"", XLOOKUP(A494, Extrato!$D:$D, Extrato!$C:$C, ""), "")</f>
        <v/>
      </c>
      <c r="H494">
        <f>IF(A494="", "", IF(E494="", "Pendente", IF(C494=G494, "OK", "Valor divergente")))</f>
        <v/>
      </c>
    </row>
    <row r="495">
      <c r="A495">
        <f>IF(NF!A493&lt;&gt;"", NF!A493, "")</f>
        <v/>
      </c>
      <c r="B495">
        <f>IF(A495&lt;&gt;"", NF!B493, "")</f>
        <v/>
      </c>
      <c r="C495">
        <f>IF(A495&lt;&gt;"", NF!C493, "")</f>
        <v/>
      </c>
      <c r="D495">
        <f>IF(A495&lt;&gt;"", NF!D493, "")</f>
        <v/>
      </c>
      <c r="E495">
        <f>IF(A495&lt;&gt;"", XLOOKUP(A495, Extrato!$D:$D, Extrato!$A:$A, ""), "")</f>
        <v/>
      </c>
      <c r="F495">
        <f>IF(A495&lt;&gt;"", XLOOKUP(A495, Extrato!$D:$D, Extrato!$B:$B, ""), "")</f>
        <v/>
      </c>
      <c r="G495">
        <f>IF(A495&lt;&gt;"", XLOOKUP(A495, Extrato!$D:$D, Extrato!$C:$C, ""), "")</f>
        <v/>
      </c>
      <c r="H495">
        <f>IF(A495="", "", IF(E495="", "Pendente", IF(C495=G495, "OK", "Valor divergente")))</f>
        <v/>
      </c>
    </row>
    <row r="496">
      <c r="A496">
        <f>IF(NF!A494&lt;&gt;"", NF!A494, "")</f>
        <v/>
      </c>
      <c r="B496">
        <f>IF(A496&lt;&gt;"", NF!B494, "")</f>
        <v/>
      </c>
      <c r="C496">
        <f>IF(A496&lt;&gt;"", NF!C494, "")</f>
        <v/>
      </c>
      <c r="D496">
        <f>IF(A496&lt;&gt;"", NF!D494, "")</f>
        <v/>
      </c>
      <c r="E496">
        <f>IF(A496&lt;&gt;"", XLOOKUP(A496, Extrato!$D:$D, Extrato!$A:$A, ""), "")</f>
        <v/>
      </c>
      <c r="F496">
        <f>IF(A496&lt;&gt;"", XLOOKUP(A496, Extrato!$D:$D, Extrato!$B:$B, ""), "")</f>
        <v/>
      </c>
      <c r="G496">
        <f>IF(A496&lt;&gt;"", XLOOKUP(A496, Extrato!$D:$D, Extrato!$C:$C, ""), "")</f>
        <v/>
      </c>
      <c r="H496">
        <f>IF(A496="", "", IF(E496="", "Pendente", IF(C496=G496, "OK", "Valor divergente")))</f>
        <v/>
      </c>
    </row>
    <row r="497">
      <c r="A497">
        <f>IF(NF!A495&lt;&gt;"", NF!A495, "")</f>
        <v/>
      </c>
      <c r="B497">
        <f>IF(A497&lt;&gt;"", NF!B495, "")</f>
        <v/>
      </c>
      <c r="C497">
        <f>IF(A497&lt;&gt;"", NF!C495, "")</f>
        <v/>
      </c>
      <c r="D497">
        <f>IF(A497&lt;&gt;"", NF!D495, "")</f>
        <v/>
      </c>
      <c r="E497">
        <f>IF(A497&lt;&gt;"", XLOOKUP(A497, Extrato!$D:$D, Extrato!$A:$A, ""), "")</f>
        <v/>
      </c>
      <c r="F497">
        <f>IF(A497&lt;&gt;"", XLOOKUP(A497, Extrato!$D:$D, Extrato!$B:$B, ""), "")</f>
        <v/>
      </c>
      <c r="G497">
        <f>IF(A497&lt;&gt;"", XLOOKUP(A497, Extrato!$D:$D, Extrato!$C:$C, ""), "")</f>
        <v/>
      </c>
      <c r="H497">
        <f>IF(A497="", "", IF(E497="", "Pendente", IF(C497=G497, "OK", "Valor divergente")))</f>
        <v/>
      </c>
    </row>
    <row r="498">
      <c r="A498">
        <f>IF(NF!A496&lt;&gt;"", NF!A496, "")</f>
        <v/>
      </c>
      <c r="B498">
        <f>IF(A498&lt;&gt;"", NF!B496, "")</f>
        <v/>
      </c>
      <c r="C498">
        <f>IF(A498&lt;&gt;"", NF!C496, "")</f>
        <v/>
      </c>
      <c r="D498">
        <f>IF(A498&lt;&gt;"", NF!D496, "")</f>
        <v/>
      </c>
      <c r="E498">
        <f>IF(A498&lt;&gt;"", XLOOKUP(A498, Extrato!$D:$D, Extrato!$A:$A, ""), "")</f>
        <v/>
      </c>
      <c r="F498">
        <f>IF(A498&lt;&gt;"", XLOOKUP(A498, Extrato!$D:$D, Extrato!$B:$B, ""), "")</f>
        <v/>
      </c>
      <c r="G498">
        <f>IF(A498&lt;&gt;"", XLOOKUP(A498, Extrato!$D:$D, Extrato!$C:$C, ""), "")</f>
        <v/>
      </c>
      <c r="H498">
        <f>IF(A498="", "", IF(E498="", "Pendente", IF(C498=G498, "OK", "Valor divergente")))</f>
        <v/>
      </c>
    </row>
    <row r="499">
      <c r="A499">
        <f>IF(NF!A497&lt;&gt;"", NF!A497, "")</f>
        <v/>
      </c>
      <c r="B499">
        <f>IF(A499&lt;&gt;"", NF!B497, "")</f>
        <v/>
      </c>
      <c r="C499">
        <f>IF(A499&lt;&gt;"", NF!C497, "")</f>
        <v/>
      </c>
      <c r="D499">
        <f>IF(A499&lt;&gt;"", NF!D497, "")</f>
        <v/>
      </c>
      <c r="E499">
        <f>IF(A499&lt;&gt;"", XLOOKUP(A499, Extrato!$D:$D, Extrato!$A:$A, ""), "")</f>
        <v/>
      </c>
      <c r="F499">
        <f>IF(A499&lt;&gt;"", XLOOKUP(A499, Extrato!$D:$D, Extrato!$B:$B, ""), "")</f>
        <v/>
      </c>
      <c r="G499">
        <f>IF(A499&lt;&gt;"", XLOOKUP(A499, Extrato!$D:$D, Extrato!$C:$C, ""), "")</f>
        <v/>
      </c>
      <c r="H499">
        <f>IF(A499="", "", IF(E499="", "Pendente", IF(C499=G499, "OK", "Valor divergente")))</f>
        <v/>
      </c>
    </row>
    <row r="500">
      <c r="A500">
        <f>IF(NF!A498&lt;&gt;"", NF!A498, "")</f>
        <v/>
      </c>
      <c r="B500">
        <f>IF(A500&lt;&gt;"", NF!B498, "")</f>
        <v/>
      </c>
      <c r="C500">
        <f>IF(A500&lt;&gt;"", NF!C498, "")</f>
        <v/>
      </c>
      <c r="D500">
        <f>IF(A500&lt;&gt;"", NF!D498, "")</f>
        <v/>
      </c>
      <c r="E500">
        <f>IF(A500&lt;&gt;"", XLOOKUP(A500, Extrato!$D:$D, Extrato!$A:$A, ""), "")</f>
        <v/>
      </c>
      <c r="F500">
        <f>IF(A500&lt;&gt;"", XLOOKUP(A500, Extrato!$D:$D, Extrato!$B:$B, ""), "")</f>
        <v/>
      </c>
      <c r="G500">
        <f>IF(A500&lt;&gt;"", XLOOKUP(A500, Extrato!$D:$D, Extrato!$C:$C, ""), "")</f>
        <v/>
      </c>
      <c r="H500">
        <f>IF(A500="", "", IF(E500="", "Pendente", IF(C500=G500, "OK", "Valor divergente")))</f>
        <v/>
      </c>
    </row>
    <row r="501">
      <c r="A501">
        <f>IF(NF!A499&lt;&gt;"", NF!A499, "")</f>
        <v/>
      </c>
      <c r="B501">
        <f>IF(A501&lt;&gt;"", NF!B499, "")</f>
        <v/>
      </c>
      <c r="C501">
        <f>IF(A501&lt;&gt;"", NF!C499, "")</f>
        <v/>
      </c>
      <c r="D501">
        <f>IF(A501&lt;&gt;"", NF!D499, "")</f>
        <v/>
      </c>
      <c r="E501">
        <f>IF(A501&lt;&gt;"", XLOOKUP(A501, Extrato!$D:$D, Extrato!$A:$A, ""), "")</f>
        <v/>
      </c>
      <c r="F501">
        <f>IF(A501&lt;&gt;"", XLOOKUP(A501, Extrato!$D:$D, Extrato!$B:$B, ""), "")</f>
        <v/>
      </c>
      <c r="G501">
        <f>IF(A501&lt;&gt;"", XLOOKUP(A501, Extrato!$D:$D, Extrato!$C:$C, ""), "")</f>
        <v/>
      </c>
      <c r="H501">
        <f>IF(A501="", "", IF(E501="", "Pendente", IF(C501=G501, "OK", "Valor divergente")))</f>
        <v/>
      </c>
    </row>
    <row r="502">
      <c r="A502">
        <f>IF(NF!A500&lt;&gt;"", NF!A500, "")</f>
        <v/>
      </c>
      <c r="B502">
        <f>IF(A502&lt;&gt;"", NF!B500, "")</f>
        <v/>
      </c>
      <c r="C502">
        <f>IF(A502&lt;&gt;"", NF!C500, "")</f>
        <v/>
      </c>
      <c r="D502">
        <f>IF(A502&lt;&gt;"", NF!D500, "")</f>
        <v/>
      </c>
      <c r="E502">
        <f>IF(A502&lt;&gt;"", XLOOKUP(A502, Extrato!$D:$D, Extrato!$A:$A, ""), "")</f>
        <v/>
      </c>
      <c r="F502">
        <f>IF(A502&lt;&gt;"", XLOOKUP(A502, Extrato!$D:$D, Extrato!$B:$B, ""), "")</f>
        <v/>
      </c>
      <c r="G502">
        <f>IF(A502&lt;&gt;"", XLOOKUP(A502, Extrato!$D:$D, Extrato!$C:$C, ""), "")</f>
        <v/>
      </c>
      <c r="H502">
        <f>IF(A502="", "", IF(E502="", "Pendente", IF(C502=G502, "OK", "Valor divergente")))</f>
        <v/>
      </c>
    </row>
    <row r="503">
      <c r="A503">
        <f>IF(NF!A501&lt;&gt;"", NF!A501, "")</f>
        <v/>
      </c>
      <c r="B503">
        <f>IF(A503&lt;&gt;"", NF!B501, "")</f>
        <v/>
      </c>
      <c r="C503">
        <f>IF(A503&lt;&gt;"", NF!C501, "")</f>
        <v/>
      </c>
      <c r="D503">
        <f>IF(A503&lt;&gt;"", NF!D501, "")</f>
        <v/>
      </c>
      <c r="E503">
        <f>IF(A503&lt;&gt;"", XLOOKUP(A503, Extrato!$D:$D, Extrato!$A:$A, ""), "")</f>
        <v/>
      </c>
      <c r="F503">
        <f>IF(A503&lt;&gt;"", XLOOKUP(A503, Extrato!$D:$D, Extrato!$B:$B, ""), "")</f>
        <v/>
      </c>
      <c r="G503">
        <f>IF(A503&lt;&gt;"", XLOOKUP(A503, Extrato!$D:$D, Extrato!$C:$C, ""), "")</f>
        <v/>
      </c>
      <c r="H503">
        <f>IF(A503="", "", IF(E503="", "Pendente", IF(C503=G503, "OK", "Valor divergente")))</f>
        <v/>
      </c>
    </row>
    <row r="504">
      <c r="A504">
        <f>IF(NF!A502&lt;&gt;"", NF!A502, "")</f>
        <v/>
      </c>
      <c r="B504">
        <f>IF(A504&lt;&gt;"", NF!B502, "")</f>
        <v/>
      </c>
      <c r="C504">
        <f>IF(A504&lt;&gt;"", NF!C502, "")</f>
        <v/>
      </c>
      <c r="D504">
        <f>IF(A504&lt;&gt;"", NF!D502, "")</f>
        <v/>
      </c>
      <c r="E504">
        <f>IF(A504&lt;&gt;"", XLOOKUP(A504, Extrato!$D:$D, Extrato!$A:$A, ""), "")</f>
        <v/>
      </c>
      <c r="F504">
        <f>IF(A504&lt;&gt;"", XLOOKUP(A504, Extrato!$D:$D, Extrato!$B:$B, ""), "")</f>
        <v/>
      </c>
      <c r="G504">
        <f>IF(A504&lt;&gt;"", XLOOKUP(A504, Extrato!$D:$D, Extrato!$C:$C, ""), "")</f>
        <v/>
      </c>
      <c r="H504">
        <f>IF(A504="", "", IF(E504="", "Pendente", IF(C504=G504, "OK", "Valor divergente")))</f>
        <v/>
      </c>
    </row>
    <row r="505">
      <c r="A505">
        <f>IF(NF!A503&lt;&gt;"", NF!A503, "")</f>
        <v/>
      </c>
      <c r="B505">
        <f>IF(A505&lt;&gt;"", NF!B503, "")</f>
        <v/>
      </c>
      <c r="C505">
        <f>IF(A505&lt;&gt;"", NF!C503, "")</f>
        <v/>
      </c>
      <c r="D505">
        <f>IF(A505&lt;&gt;"", NF!D503, "")</f>
        <v/>
      </c>
      <c r="E505">
        <f>IF(A505&lt;&gt;"", XLOOKUP(A505, Extrato!$D:$D, Extrato!$A:$A, ""), "")</f>
        <v/>
      </c>
      <c r="F505">
        <f>IF(A505&lt;&gt;"", XLOOKUP(A505, Extrato!$D:$D, Extrato!$B:$B, ""), "")</f>
        <v/>
      </c>
      <c r="G505">
        <f>IF(A505&lt;&gt;"", XLOOKUP(A505, Extrato!$D:$D, Extrato!$C:$C, ""), "")</f>
        <v/>
      </c>
      <c r="H505">
        <f>IF(A505="", "", IF(E505="", "Pendente", IF(C505=G505, "OK", "Valor divergente")))</f>
        <v/>
      </c>
    </row>
    <row r="506">
      <c r="A506">
        <f>IF(NF!A504&lt;&gt;"", NF!A504, "")</f>
        <v/>
      </c>
      <c r="B506">
        <f>IF(A506&lt;&gt;"", NF!B504, "")</f>
        <v/>
      </c>
      <c r="C506">
        <f>IF(A506&lt;&gt;"", NF!C504, "")</f>
        <v/>
      </c>
      <c r="D506">
        <f>IF(A506&lt;&gt;"", NF!D504, "")</f>
        <v/>
      </c>
      <c r="E506">
        <f>IF(A506&lt;&gt;"", XLOOKUP(A506, Extrato!$D:$D, Extrato!$A:$A, ""), "")</f>
        <v/>
      </c>
      <c r="F506">
        <f>IF(A506&lt;&gt;"", XLOOKUP(A506, Extrato!$D:$D, Extrato!$B:$B, ""), "")</f>
        <v/>
      </c>
      <c r="G506">
        <f>IF(A506&lt;&gt;"", XLOOKUP(A506, Extrato!$D:$D, Extrato!$C:$C, ""), "")</f>
        <v/>
      </c>
      <c r="H506">
        <f>IF(A506="", "", IF(E506="", "Pendente", IF(C506=G506, "OK", "Valor divergente")))</f>
        <v/>
      </c>
    </row>
    <row r="507">
      <c r="A507">
        <f>IF(NF!A505&lt;&gt;"", NF!A505, "")</f>
        <v/>
      </c>
      <c r="B507">
        <f>IF(A507&lt;&gt;"", NF!B505, "")</f>
        <v/>
      </c>
      <c r="C507">
        <f>IF(A507&lt;&gt;"", NF!C505, "")</f>
        <v/>
      </c>
      <c r="D507">
        <f>IF(A507&lt;&gt;"", NF!D505, "")</f>
        <v/>
      </c>
      <c r="E507">
        <f>IF(A507&lt;&gt;"", XLOOKUP(A507, Extrato!$D:$D, Extrato!$A:$A, ""), "")</f>
        <v/>
      </c>
      <c r="F507">
        <f>IF(A507&lt;&gt;"", XLOOKUP(A507, Extrato!$D:$D, Extrato!$B:$B, ""), "")</f>
        <v/>
      </c>
      <c r="G507">
        <f>IF(A507&lt;&gt;"", XLOOKUP(A507, Extrato!$D:$D, Extrato!$C:$C, ""), "")</f>
        <v/>
      </c>
      <c r="H507">
        <f>IF(A507="", "", IF(E507="", "Pendente", IF(C507=G507, "OK", "Valor divergente")))</f>
        <v/>
      </c>
    </row>
    <row r="508">
      <c r="A508">
        <f>IF(NF!A506&lt;&gt;"", NF!A506, "")</f>
        <v/>
      </c>
      <c r="B508">
        <f>IF(A508&lt;&gt;"", NF!B506, "")</f>
        <v/>
      </c>
      <c r="C508">
        <f>IF(A508&lt;&gt;"", NF!C506, "")</f>
        <v/>
      </c>
      <c r="D508">
        <f>IF(A508&lt;&gt;"", NF!D506, "")</f>
        <v/>
      </c>
      <c r="E508">
        <f>IF(A508&lt;&gt;"", XLOOKUP(A508, Extrato!$D:$D, Extrato!$A:$A, ""), "")</f>
        <v/>
      </c>
      <c r="F508">
        <f>IF(A508&lt;&gt;"", XLOOKUP(A508, Extrato!$D:$D, Extrato!$B:$B, ""), "")</f>
        <v/>
      </c>
      <c r="G508">
        <f>IF(A508&lt;&gt;"", XLOOKUP(A508, Extrato!$D:$D, Extrato!$C:$C, ""), "")</f>
        <v/>
      </c>
      <c r="H508">
        <f>IF(A508="", "", IF(E508="", "Pendente", IF(C508=G508, "OK", "Valor divergente")))</f>
        <v/>
      </c>
    </row>
    <row r="509">
      <c r="A509">
        <f>IF(NF!A507&lt;&gt;"", NF!A507, "")</f>
        <v/>
      </c>
      <c r="B509">
        <f>IF(A509&lt;&gt;"", NF!B507, "")</f>
        <v/>
      </c>
      <c r="C509">
        <f>IF(A509&lt;&gt;"", NF!C507, "")</f>
        <v/>
      </c>
      <c r="D509">
        <f>IF(A509&lt;&gt;"", NF!D507, "")</f>
        <v/>
      </c>
      <c r="E509">
        <f>IF(A509&lt;&gt;"", XLOOKUP(A509, Extrato!$D:$D, Extrato!$A:$A, ""), "")</f>
        <v/>
      </c>
      <c r="F509">
        <f>IF(A509&lt;&gt;"", XLOOKUP(A509, Extrato!$D:$D, Extrato!$B:$B, ""), "")</f>
        <v/>
      </c>
      <c r="G509">
        <f>IF(A509&lt;&gt;"", XLOOKUP(A509, Extrato!$D:$D, Extrato!$C:$C, ""), "")</f>
        <v/>
      </c>
      <c r="H509">
        <f>IF(A509="", "", IF(E509="", "Pendente", IF(C509=G509, "OK", "Valor divergente")))</f>
        <v/>
      </c>
    </row>
    <row r="510">
      <c r="A510">
        <f>IF(NF!A508&lt;&gt;"", NF!A508, "")</f>
        <v/>
      </c>
      <c r="B510">
        <f>IF(A510&lt;&gt;"", NF!B508, "")</f>
        <v/>
      </c>
      <c r="C510">
        <f>IF(A510&lt;&gt;"", NF!C508, "")</f>
        <v/>
      </c>
      <c r="D510">
        <f>IF(A510&lt;&gt;"", NF!D508, "")</f>
        <v/>
      </c>
      <c r="E510">
        <f>IF(A510&lt;&gt;"", XLOOKUP(A510, Extrato!$D:$D, Extrato!$A:$A, ""), "")</f>
        <v/>
      </c>
      <c r="F510">
        <f>IF(A510&lt;&gt;"", XLOOKUP(A510, Extrato!$D:$D, Extrato!$B:$B, ""), "")</f>
        <v/>
      </c>
      <c r="G510">
        <f>IF(A510&lt;&gt;"", XLOOKUP(A510, Extrato!$D:$D, Extrato!$C:$C, ""), "")</f>
        <v/>
      </c>
      <c r="H510">
        <f>IF(A510="", "", IF(E510="", "Pendente", IF(C510=G510, "OK", "Valor divergente")))</f>
        <v/>
      </c>
    </row>
    <row r="511">
      <c r="A511">
        <f>IF(NF!A509&lt;&gt;"", NF!A509, "")</f>
        <v/>
      </c>
      <c r="B511">
        <f>IF(A511&lt;&gt;"", NF!B509, "")</f>
        <v/>
      </c>
      <c r="C511">
        <f>IF(A511&lt;&gt;"", NF!C509, "")</f>
        <v/>
      </c>
      <c r="D511">
        <f>IF(A511&lt;&gt;"", NF!D509, "")</f>
        <v/>
      </c>
      <c r="E511">
        <f>IF(A511&lt;&gt;"", XLOOKUP(A511, Extrato!$D:$D, Extrato!$A:$A, ""), "")</f>
        <v/>
      </c>
      <c r="F511">
        <f>IF(A511&lt;&gt;"", XLOOKUP(A511, Extrato!$D:$D, Extrato!$B:$B, ""), "")</f>
        <v/>
      </c>
      <c r="G511">
        <f>IF(A511&lt;&gt;"", XLOOKUP(A511, Extrato!$D:$D, Extrato!$C:$C, ""), "")</f>
        <v/>
      </c>
      <c r="H511">
        <f>IF(A511="", "", IF(E511="", "Pendente", IF(C511=G511, "OK", "Valor divergente")))</f>
        <v/>
      </c>
    </row>
    <row r="512">
      <c r="A512">
        <f>IF(NF!A510&lt;&gt;"", NF!A510, "")</f>
        <v/>
      </c>
      <c r="B512">
        <f>IF(A512&lt;&gt;"", NF!B510, "")</f>
        <v/>
      </c>
      <c r="C512">
        <f>IF(A512&lt;&gt;"", NF!C510, "")</f>
        <v/>
      </c>
      <c r="D512">
        <f>IF(A512&lt;&gt;"", NF!D510, "")</f>
        <v/>
      </c>
      <c r="E512">
        <f>IF(A512&lt;&gt;"", XLOOKUP(A512, Extrato!$D:$D, Extrato!$A:$A, ""), "")</f>
        <v/>
      </c>
      <c r="F512">
        <f>IF(A512&lt;&gt;"", XLOOKUP(A512, Extrato!$D:$D, Extrato!$B:$B, ""), "")</f>
        <v/>
      </c>
      <c r="G512">
        <f>IF(A512&lt;&gt;"", XLOOKUP(A512, Extrato!$D:$D, Extrato!$C:$C, ""), "")</f>
        <v/>
      </c>
      <c r="H512">
        <f>IF(A512="", "", IF(E512="", "Pendente", IF(C512=G512, "OK", "Valor divergente")))</f>
        <v/>
      </c>
    </row>
    <row r="513">
      <c r="A513">
        <f>IF(NF!A511&lt;&gt;"", NF!A511, "")</f>
        <v/>
      </c>
      <c r="B513">
        <f>IF(A513&lt;&gt;"", NF!B511, "")</f>
        <v/>
      </c>
      <c r="C513">
        <f>IF(A513&lt;&gt;"", NF!C511, "")</f>
        <v/>
      </c>
      <c r="D513">
        <f>IF(A513&lt;&gt;"", NF!D511, "")</f>
        <v/>
      </c>
      <c r="E513">
        <f>IF(A513&lt;&gt;"", XLOOKUP(A513, Extrato!$D:$D, Extrato!$A:$A, ""), "")</f>
        <v/>
      </c>
      <c r="F513">
        <f>IF(A513&lt;&gt;"", XLOOKUP(A513, Extrato!$D:$D, Extrato!$B:$B, ""), "")</f>
        <v/>
      </c>
      <c r="G513">
        <f>IF(A513&lt;&gt;"", XLOOKUP(A513, Extrato!$D:$D, Extrato!$C:$C, ""), "")</f>
        <v/>
      </c>
      <c r="H513">
        <f>IF(A513="", "", IF(E513="", "Pendente", IF(C513=G513, "OK", "Valor divergente")))</f>
        <v/>
      </c>
    </row>
    <row r="514">
      <c r="A514">
        <f>IF(NF!A512&lt;&gt;"", NF!A512, "")</f>
        <v/>
      </c>
      <c r="B514">
        <f>IF(A514&lt;&gt;"", NF!B512, "")</f>
        <v/>
      </c>
      <c r="C514">
        <f>IF(A514&lt;&gt;"", NF!C512, "")</f>
        <v/>
      </c>
      <c r="D514">
        <f>IF(A514&lt;&gt;"", NF!D512, "")</f>
        <v/>
      </c>
      <c r="E514">
        <f>IF(A514&lt;&gt;"", XLOOKUP(A514, Extrato!$D:$D, Extrato!$A:$A, ""), "")</f>
        <v/>
      </c>
      <c r="F514">
        <f>IF(A514&lt;&gt;"", XLOOKUP(A514, Extrato!$D:$D, Extrato!$B:$B, ""), "")</f>
        <v/>
      </c>
      <c r="G514">
        <f>IF(A514&lt;&gt;"", XLOOKUP(A514, Extrato!$D:$D, Extrato!$C:$C, ""), "")</f>
        <v/>
      </c>
      <c r="H514">
        <f>IF(A514="", "", IF(E514="", "Pendente", IF(C514=G514, "OK", "Valor divergente")))</f>
        <v/>
      </c>
    </row>
    <row r="515">
      <c r="A515">
        <f>IF(NF!A513&lt;&gt;"", NF!A513, "")</f>
        <v/>
      </c>
      <c r="B515">
        <f>IF(A515&lt;&gt;"", NF!B513, "")</f>
        <v/>
      </c>
      <c r="C515">
        <f>IF(A515&lt;&gt;"", NF!C513, "")</f>
        <v/>
      </c>
      <c r="D515">
        <f>IF(A515&lt;&gt;"", NF!D513, "")</f>
        <v/>
      </c>
      <c r="E515">
        <f>IF(A515&lt;&gt;"", XLOOKUP(A515, Extrato!$D:$D, Extrato!$A:$A, ""), "")</f>
        <v/>
      </c>
      <c r="F515">
        <f>IF(A515&lt;&gt;"", XLOOKUP(A515, Extrato!$D:$D, Extrato!$B:$B, ""), "")</f>
        <v/>
      </c>
      <c r="G515">
        <f>IF(A515&lt;&gt;"", XLOOKUP(A515, Extrato!$D:$D, Extrato!$C:$C, ""), "")</f>
        <v/>
      </c>
      <c r="H515">
        <f>IF(A515="", "", IF(E515="", "Pendente", IF(C515=G515, "OK", "Valor divergente")))</f>
        <v/>
      </c>
    </row>
    <row r="516">
      <c r="A516">
        <f>IF(NF!A514&lt;&gt;"", NF!A514, "")</f>
        <v/>
      </c>
      <c r="B516">
        <f>IF(A516&lt;&gt;"", NF!B514, "")</f>
        <v/>
      </c>
      <c r="C516">
        <f>IF(A516&lt;&gt;"", NF!C514, "")</f>
        <v/>
      </c>
      <c r="D516">
        <f>IF(A516&lt;&gt;"", NF!D514, "")</f>
        <v/>
      </c>
      <c r="E516">
        <f>IF(A516&lt;&gt;"", XLOOKUP(A516, Extrato!$D:$D, Extrato!$A:$A, ""), "")</f>
        <v/>
      </c>
      <c r="F516">
        <f>IF(A516&lt;&gt;"", XLOOKUP(A516, Extrato!$D:$D, Extrato!$B:$B, ""), "")</f>
        <v/>
      </c>
      <c r="G516">
        <f>IF(A516&lt;&gt;"", XLOOKUP(A516, Extrato!$D:$D, Extrato!$C:$C, ""), "")</f>
        <v/>
      </c>
      <c r="H516">
        <f>IF(A516="", "", IF(E516="", "Pendente", IF(C516=G516, "OK", "Valor divergente")))</f>
        <v/>
      </c>
    </row>
    <row r="517">
      <c r="A517">
        <f>IF(NF!A515&lt;&gt;"", NF!A515, "")</f>
        <v/>
      </c>
      <c r="B517">
        <f>IF(A517&lt;&gt;"", NF!B515, "")</f>
        <v/>
      </c>
      <c r="C517">
        <f>IF(A517&lt;&gt;"", NF!C515, "")</f>
        <v/>
      </c>
      <c r="D517">
        <f>IF(A517&lt;&gt;"", NF!D515, "")</f>
        <v/>
      </c>
      <c r="E517">
        <f>IF(A517&lt;&gt;"", XLOOKUP(A517, Extrato!$D:$D, Extrato!$A:$A, ""), "")</f>
        <v/>
      </c>
      <c r="F517">
        <f>IF(A517&lt;&gt;"", XLOOKUP(A517, Extrato!$D:$D, Extrato!$B:$B, ""), "")</f>
        <v/>
      </c>
      <c r="G517">
        <f>IF(A517&lt;&gt;"", XLOOKUP(A517, Extrato!$D:$D, Extrato!$C:$C, ""), "")</f>
        <v/>
      </c>
      <c r="H517">
        <f>IF(A517="", "", IF(E517="", "Pendente", IF(C517=G517, "OK", "Valor divergente")))</f>
        <v/>
      </c>
    </row>
    <row r="518">
      <c r="A518">
        <f>IF(NF!A516&lt;&gt;"", NF!A516, "")</f>
        <v/>
      </c>
      <c r="B518">
        <f>IF(A518&lt;&gt;"", NF!B516, "")</f>
        <v/>
      </c>
      <c r="C518">
        <f>IF(A518&lt;&gt;"", NF!C516, "")</f>
        <v/>
      </c>
      <c r="D518">
        <f>IF(A518&lt;&gt;"", NF!D516, "")</f>
        <v/>
      </c>
      <c r="E518">
        <f>IF(A518&lt;&gt;"", XLOOKUP(A518, Extrato!$D:$D, Extrato!$A:$A, ""), "")</f>
        <v/>
      </c>
      <c r="F518">
        <f>IF(A518&lt;&gt;"", XLOOKUP(A518, Extrato!$D:$D, Extrato!$B:$B, ""), "")</f>
        <v/>
      </c>
      <c r="G518">
        <f>IF(A518&lt;&gt;"", XLOOKUP(A518, Extrato!$D:$D, Extrato!$C:$C, ""), "")</f>
        <v/>
      </c>
      <c r="H518">
        <f>IF(A518="", "", IF(E518="", "Pendente", IF(C518=G518, "OK", "Valor divergente")))</f>
        <v/>
      </c>
    </row>
    <row r="519">
      <c r="A519">
        <f>IF(NF!A517&lt;&gt;"", NF!A517, "")</f>
        <v/>
      </c>
      <c r="B519">
        <f>IF(A519&lt;&gt;"", NF!B517, "")</f>
        <v/>
      </c>
      <c r="C519">
        <f>IF(A519&lt;&gt;"", NF!C517, "")</f>
        <v/>
      </c>
      <c r="D519">
        <f>IF(A519&lt;&gt;"", NF!D517, "")</f>
        <v/>
      </c>
      <c r="E519">
        <f>IF(A519&lt;&gt;"", XLOOKUP(A519, Extrato!$D:$D, Extrato!$A:$A, ""), "")</f>
        <v/>
      </c>
      <c r="F519">
        <f>IF(A519&lt;&gt;"", XLOOKUP(A519, Extrato!$D:$D, Extrato!$B:$B, ""), "")</f>
        <v/>
      </c>
      <c r="G519">
        <f>IF(A519&lt;&gt;"", XLOOKUP(A519, Extrato!$D:$D, Extrato!$C:$C, ""), "")</f>
        <v/>
      </c>
      <c r="H519">
        <f>IF(A519="", "", IF(E519="", "Pendente", IF(C519=G519, "OK", "Valor divergente")))</f>
        <v/>
      </c>
    </row>
    <row r="520">
      <c r="A520">
        <f>IF(NF!A518&lt;&gt;"", NF!A518, "")</f>
        <v/>
      </c>
      <c r="B520">
        <f>IF(A520&lt;&gt;"", NF!B518, "")</f>
        <v/>
      </c>
      <c r="C520">
        <f>IF(A520&lt;&gt;"", NF!C518, "")</f>
        <v/>
      </c>
      <c r="D520">
        <f>IF(A520&lt;&gt;"", NF!D518, "")</f>
        <v/>
      </c>
      <c r="E520">
        <f>IF(A520&lt;&gt;"", XLOOKUP(A520, Extrato!$D:$D, Extrato!$A:$A, ""), "")</f>
        <v/>
      </c>
      <c r="F520">
        <f>IF(A520&lt;&gt;"", XLOOKUP(A520, Extrato!$D:$D, Extrato!$B:$B, ""), "")</f>
        <v/>
      </c>
      <c r="G520">
        <f>IF(A520&lt;&gt;"", XLOOKUP(A520, Extrato!$D:$D, Extrato!$C:$C, ""), "")</f>
        <v/>
      </c>
      <c r="H520">
        <f>IF(A520="", "", IF(E520="", "Pendente", IF(C520=G520, "OK", "Valor divergente")))</f>
        <v/>
      </c>
    </row>
    <row r="521">
      <c r="A521">
        <f>IF(NF!A519&lt;&gt;"", NF!A519, "")</f>
        <v/>
      </c>
      <c r="B521">
        <f>IF(A521&lt;&gt;"", NF!B519, "")</f>
        <v/>
      </c>
      <c r="C521">
        <f>IF(A521&lt;&gt;"", NF!C519, "")</f>
        <v/>
      </c>
      <c r="D521">
        <f>IF(A521&lt;&gt;"", NF!D519, "")</f>
        <v/>
      </c>
      <c r="E521">
        <f>IF(A521&lt;&gt;"", XLOOKUP(A521, Extrato!$D:$D, Extrato!$A:$A, ""), "")</f>
        <v/>
      </c>
      <c r="F521">
        <f>IF(A521&lt;&gt;"", XLOOKUP(A521, Extrato!$D:$D, Extrato!$B:$B, ""), "")</f>
        <v/>
      </c>
      <c r="G521">
        <f>IF(A521&lt;&gt;"", XLOOKUP(A521, Extrato!$D:$D, Extrato!$C:$C, ""), "")</f>
        <v/>
      </c>
      <c r="H521">
        <f>IF(A521="", "", IF(E521="", "Pendente", IF(C521=G521, "OK", "Valor divergente")))</f>
        <v/>
      </c>
    </row>
    <row r="522">
      <c r="A522">
        <f>IF(NF!A520&lt;&gt;"", NF!A520, "")</f>
        <v/>
      </c>
      <c r="B522">
        <f>IF(A522&lt;&gt;"", NF!B520, "")</f>
        <v/>
      </c>
      <c r="C522">
        <f>IF(A522&lt;&gt;"", NF!C520, "")</f>
        <v/>
      </c>
      <c r="D522">
        <f>IF(A522&lt;&gt;"", NF!D520, "")</f>
        <v/>
      </c>
      <c r="E522">
        <f>IF(A522&lt;&gt;"", XLOOKUP(A522, Extrato!$D:$D, Extrato!$A:$A, ""), "")</f>
        <v/>
      </c>
      <c r="F522">
        <f>IF(A522&lt;&gt;"", XLOOKUP(A522, Extrato!$D:$D, Extrato!$B:$B, ""), "")</f>
        <v/>
      </c>
      <c r="G522">
        <f>IF(A522&lt;&gt;"", XLOOKUP(A522, Extrato!$D:$D, Extrato!$C:$C, ""), "")</f>
        <v/>
      </c>
      <c r="H522">
        <f>IF(A522="", "", IF(E522="", "Pendente", IF(C522=G522, "OK", "Valor divergente")))</f>
        <v/>
      </c>
    </row>
    <row r="523">
      <c r="A523">
        <f>IF(NF!A521&lt;&gt;"", NF!A521, "")</f>
        <v/>
      </c>
      <c r="B523">
        <f>IF(A523&lt;&gt;"", NF!B521, "")</f>
        <v/>
      </c>
      <c r="C523">
        <f>IF(A523&lt;&gt;"", NF!C521, "")</f>
        <v/>
      </c>
      <c r="D523">
        <f>IF(A523&lt;&gt;"", NF!D521, "")</f>
        <v/>
      </c>
      <c r="E523">
        <f>IF(A523&lt;&gt;"", XLOOKUP(A523, Extrato!$D:$D, Extrato!$A:$A, ""), "")</f>
        <v/>
      </c>
      <c r="F523">
        <f>IF(A523&lt;&gt;"", XLOOKUP(A523, Extrato!$D:$D, Extrato!$B:$B, ""), "")</f>
        <v/>
      </c>
      <c r="G523">
        <f>IF(A523&lt;&gt;"", XLOOKUP(A523, Extrato!$D:$D, Extrato!$C:$C, ""), "")</f>
        <v/>
      </c>
      <c r="H523">
        <f>IF(A523="", "", IF(E523="", "Pendente", IF(C523=G523, "OK", "Valor divergente")))</f>
        <v/>
      </c>
    </row>
    <row r="524">
      <c r="A524">
        <f>IF(NF!A522&lt;&gt;"", NF!A522, "")</f>
        <v/>
      </c>
      <c r="B524">
        <f>IF(A524&lt;&gt;"", NF!B522, "")</f>
        <v/>
      </c>
      <c r="C524">
        <f>IF(A524&lt;&gt;"", NF!C522, "")</f>
        <v/>
      </c>
      <c r="D524">
        <f>IF(A524&lt;&gt;"", NF!D522, "")</f>
        <v/>
      </c>
      <c r="E524">
        <f>IF(A524&lt;&gt;"", XLOOKUP(A524, Extrato!$D:$D, Extrato!$A:$A, ""), "")</f>
        <v/>
      </c>
      <c r="F524">
        <f>IF(A524&lt;&gt;"", XLOOKUP(A524, Extrato!$D:$D, Extrato!$B:$B, ""), "")</f>
        <v/>
      </c>
      <c r="G524">
        <f>IF(A524&lt;&gt;"", XLOOKUP(A524, Extrato!$D:$D, Extrato!$C:$C, ""), "")</f>
        <v/>
      </c>
      <c r="H524">
        <f>IF(A524="", "", IF(E524="", "Pendente", IF(C524=G524, "OK", "Valor divergente")))</f>
        <v/>
      </c>
    </row>
    <row r="525">
      <c r="A525">
        <f>IF(NF!A523&lt;&gt;"", NF!A523, "")</f>
        <v/>
      </c>
      <c r="B525">
        <f>IF(A525&lt;&gt;"", NF!B523, "")</f>
        <v/>
      </c>
      <c r="C525">
        <f>IF(A525&lt;&gt;"", NF!C523, "")</f>
        <v/>
      </c>
      <c r="D525">
        <f>IF(A525&lt;&gt;"", NF!D523, "")</f>
        <v/>
      </c>
      <c r="E525">
        <f>IF(A525&lt;&gt;"", XLOOKUP(A525, Extrato!$D:$D, Extrato!$A:$A, ""), "")</f>
        <v/>
      </c>
      <c r="F525">
        <f>IF(A525&lt;&gt;"", XLOOKUP(A525, Extrato!$D:$D, Extrato!$B:$B, ""), "")</f>
        <v/>
      </c>
      <c r="G525">
        <f>IF(A525&lt;&gt;"", XLOOKUP(A525, Extrato!$D:$D, Extrato!$C:$C, ""), "")</f>
        <v/>
      </c>
      <c r="H525">
        <f>IF(A525="", "", IF(E525="", "Pendente", IF(C525=G525, "OK", "Valor divergente")))</f>
        <v/>
      </c>
    </row>
    <row r="526">
      <c r="A526">
        <f>IF(NF!A524&lt;&gt;"", NF!A524, "")</f>
        <v/>
      </c>
      <c r="B526">
        <f>IF(A526&lt;&gt;"", NF!B524, "")</f>
        <v/>
      </c>
      <c r="C526">
        <f>IF(A526&lt;&gt;"", NF!C524, "")</f>
        <v/>
      </c>
      <c r="D526">
        <f>IF(A526&lt;&gt;"", NF!D524, "")</f>
        <v/>
      </c>
      <c r="E526">
        <f>IF(A526&lt;&gt;"", XLOOKUP(A526, Extrato!$D:$D, Extrato!$A:$A, ""), "")</f>
        <v/>
      </c>
      <c r="F526">
        <f>IF(A526&lt;&gt;"", XLOOKUP(A526, Extrato!$D:$D, Extrato!$B:$B, ""), "")</f>
        <v/>
      </c>
      <c r="G526">
        <f>IF(A526&lt;&gt;"", XLOOKUP(A526, Extrato!$D:$D, Extrato!$C:$C, ""), "")</f>
        <v/>
      </c>
      <c r="H526">
        <f>IF(A526="", "", IF(E526="", "Pendente", IF(C526=G526, "OK", "Valor divergente")))</f>
        <v/>
      </c>
    </row>
    <row r="527">
      <c r="A527">
        <f>IF(NF!A525&lt;&gt;"", NF!A525, "")</f>
        <v/>
      </c>
      <c r="B527">
        <f>IF(A527&lt;&gt;"", NF!B525, "")</f>
        <v/>
      </c>
      <c r="C527">
        <f>IF(A527&lt;&gt;"", NF!C525, "")</f>
        <v/>
      </c>
      <c r="D527">
        <f>IF(A527&lt;&gt;"", NF!D525, "")</f>
        <v/>
      </c>
      <c r="E527">
        <f>IF(A527&lt;&gt;"", XLOOKUP(A527, Extrato!$D:$D, Extrato!$A:$A, ""), "")</f>
        <v/>
      </c>
      <c r="F527">
        <f>IF(A527&lt;&gt;"", XLOOKUP(A527, Extrato!$D:$D, Extrato!$B:$B, ""), "")</f>
        <v/>
      </c>
      <c r="G527">
        <f>IF(A527&lt;&gt;"", XLOOKUP(A527, Extrato!$D:$D, Extrato!$C:$C, ""), "")</f>
        <v/>
      </c>
      <c r="H527">
        <f>IF(A527="", "", IF(E527="", "Pendente", IF(C527=G527, "OK", "Valor divergente")))</f>
        <v/>
      </c>
    </row>
    <row r="528">
      <c r="A528">
        <f>IF(NF!A526&lt;&gt;"", NF!A526, "")</f>
        <v/>
      </c>
      <c r="B528">
        <f>IF(A528&lt;&gt;"", NF!B526, "")</f>
        <v/>
      </c>
      <c r="C528">
        <f>IF(A528&lt;&gt;"", NF!C526, "")</f>
        <v/>
      </c>
      <c r="D528">
        <f>IF(A528&lt;&gt;"", NF!D526, "")</f>
        <v/>
      </c>
      <c r="E528">
        <f>IF(A528&lt;&gt;"", XLOOKUP(A528, Extrato!$D:$D, Extrato!$A:$A, ""), "")</f>
        <v/>
      </c>
      <c r="F528">
        <f>IF(A528&lt;&gt;"", XLOOKUP(A528, Extrato!$D:$D, Extrato!$B:$B, ""), "")</f>
        <v/>
      </c>
      <c r="G528">
        <f>IF(A528&lt;&gt;"", XLOOKUP(A528, Extrato!$D:$D, Extrato!$C:$C, ""), "")</f>
        <v/>
      </c>
      <c r="H528">
        <f>IF(A528="", "", IF(E528="", "Pendente", IF(C528=G528, "OK", "Valor divergente")))</f>
        <v/>
      </c>
    </row>
    <row r="529">
      <c r="A529">
        <f>IF(NF!A527&lt;&gt;"", NF!A527, "")</f>
        <v/>
      </c>
      <c r="B529">
        <f>IF(A529&lt;&gt;"", NF!B527, "")</f>
        <v/>
      </c>
      <c r="C529">
        <f>IF(A529&lt;&gt;"", NF!C527, "")</f>
        <v/>
      </c>
      <c r="D529">
        <f>IF(A529&lt;&gt;"", NF!D527, "")</f>
        <v/>
      </c>
      <c r="E529">
        <f>IF(A529&lt;&gt;"", XLOOKUP(A529, Extrato!$D:$D, Extrato!$A:$A, ""), "")</f>
        <v/>
      </c>
      <c r="F529">
        <f>IF(A529&lt;&gt;"", XLOOKUP(A529, Extrato!$D:$D, Extrato!$B:$B, ""), "")</f>
        <v/>
      </c>
      <c r="G529">
        <f>IF(A529&lt;&gt;"", XLOOKUP(A529, Extrato!$D:$D, Extrato!$C:$C, ""), "")</f>
        <v/>
      </c>
      <c r="H529">
        <f>IF(A529="", "", IF(E529="", "Pendente", IF(C529=G529, "OK", "Valor divergente")))</f>
        <v/>
      </c>
    </row>
    <row r="530">
      <c r="A530">
        <f>IF(NF!A528&lt;&gt;"", NF!A528, "")</f>
        <v/>
      </c>
      <c r="B530">
        <f>IF(A530&lt;&gt;"", NF!B528, "")</f>
        <v/>
      </c>
      <c r="C530">
        <f>IF(A530&lt;&gt;"", NF!C528, "")</f>
        <v/>
      </c>
      <c r="D530">
        <f>IF(A530&lt;&gt;"", NF!D528, "")</f>
        <v/>
      </c>
      <c r="E530">
        <f>IF(A530&lt;&gt;"", XLOOKUP(A530, Extrato!$D:$D, Extrato!$A:$A, ""), "")</f>
        <v/>
      </c>
      <c r="F530">
        <f>IF(A530&lt;&gt;"", XLOOKUP(A530, Extrato!$D:$D, Extrato!$B:$B, ""), "")</f>
        <v/>
      </c>
      <c r="G530">
        <f>IF(A530&lt;&gt;"", XLOOKUP(A530, Extrato!$D:$D, Extrato!$C:$C, ""), "")</f>
        <v/>
      </c>
      <c r="H530">
        <f>IF(A530="", "", IF(E530="", "Pendente", IF(C530=G530, "OK", "Valor divergente")))</f>
        <v/>
      </c>
    </row>
    <row r="531">
      <c r="A531">
        <f>IF(NF!A529&lt;&gt;"", NF!A529, "")</f>
        <v/>
      </c>
      <c r="B531">
        <f>IF(A531&lt;&gt;"", NF!B529, "")</f>
        <v/>
      </c>
      <c r="C531">
        <f>IF(A531&lt;&gt;"", NF!C529, "")</f>
        <v/>
      </c>
      <c r="D531">
        <f>IF(A531&lt;&gt;"", NF!D529, "")</f>
        <v/>
      </c>
      <c r="E531">
        <f>IF(A531&lt;&gt;"", XLOOKUP(A531, Extrato!$D:$D, Extrato!$A:$A, ""), "")</f>
        <v/>
      </c>
      <c r="F531">
        <f>IF(A531&lt;&gt;"", XLOOKUP(A531, Extrato!$D:$D, Extrato!$B:$B, ""), "")</f>
        <v/>
      </c>
      <c r="G531">
        <f>IF(A531&lt;&gt;"", XLOOKUP(A531, Extrato!$D:$D, Extrato!$C:$C, ""), "")</f>
        <v/>
      </c>
      <c r="H531">
        <f>IF(A531="", "", IF(E531="", "Pendente", IF(C531=G531, "OK", "Valor divergente")))</f>
        <v/>
      </c>
    </row>
    <row r="532">
      <c r="A532">
        <f>IF(NF!A530&lt;&gt;"", NF!A530, "")</f>
        <v/>
      </c>
      <c r="B532">
        <f>IF(A532&lt;&gt;"", NF!B530, "")</f>
        <v/>
      </c>
      <c r="C532">
        <f>IF(A532&lt;&gt;"", NF!C530, "")</f>
        <v/>
      </c>
      <c r="D532">
        <f>IF(A532&lt;&gt;"", NF!D530, "")</f>
        <v/>
      </c>
      <c r="E532">
        <f>IF(A532&lt;&gt;"", XLOOKUP(A532, Extrato!$D:$D, Extrato!$A:$A, ""), "")</f>
        <v/>
      </c>
      <c r="F532">
        <f>IF(A532&lt;&gt;"", XLOOKUP(A532, Extrato!$D:$D, Extrato!$B:$B, ""), "")</f>
        <v/>
      </c>
      <c r="G532">
        <f>IF(A532&lt;&gt;"", XLOOKUP(A532, Extrato!$D:$D, Extrato!$C:$C, ""), "")</f>
        <v/>
      </c>
      <c r="H532">
        <f>IF(A532="", "", IF(E532="", "Pendente", IF(C532=G532, "OK", "Valor divergente")))</f>
        <v/>
      </c>
    </row>
    <row r="533">
      <c r="A533">
        <f>IF(NF!A531&lt;&gt;"", NF!A531, "")</f>
        <v/>
      </c>
      <c r="B533">
        <f>IF(A533&lt;&gt;"", NF!B531, "")</f>
        <v/>
      </c>
      <c r="C533">
        <f>IF(A533&lt;&gt;"", NF!C531, "")</f>
        <v/>
      </c>
      <c r="D533">
        <f>IF(A533&lt;&gt;"", NF!D531, "")</f>
        <v/>
      </c>
      <c r="E533">
        <f>IF(A533&lt;&gt;"", XLOOKUP(A533, Extrato!$D:$D, Extrato!$A:$A, ""), "")</f>
        <v/>
      </c>
      <c r="F533">
        <f>IF(A533&lt;&gt;"", XLOOKUP(A533, Extrato!$D:$D, Extrato!$B:$B, ""), "")</f>
        <v/>
      </c>
      <c r="G533">
        <f>IF(A533&lt;&gt;"", XLOOKUP(A533, Extrato!$D:$D, Extrato!$C:$C, ""), "")</f>
        <v/>
      </c>
      <c r="H533">
        <f>IF(A533="", "", IF(E533="", "Pendente", IF(C533=G533, "OK", "Valor divergente")))</f>
        <v/>
      </c>
    </row>
    <row r="534">
      <c r="A534">
        <f>IF(NF!A532&lt;&gt;"", NF!A532, "")</f>
        <v/>
      </c>
      <c r="B534">
        <f>IF(A534&lt;&gt;"", NF!B532, "")</f>
        <v/>
      </c>
      <c r="C534">
        <f>IF(A534&lt;&gt;"", NF!C532, "")</f>
        <v/>
      </c>
      <c r="D534">
        <f>IF(A534&lt;&gt;"", NF!D532, "")</f>
        <v/>
      </c>
      <c r="E534">
        <f>IF(A534&lt;&gt;"", XLOOKUP(A534, Extrato!$D:$D, Extrato!$A:$A, ""), "")</f>
        <v/>
      </c>
      <c r="F534">
        <f>IF(A534&lt;&gt;"", XLOOKUP(A534, Extrato!$D:$D, Extrato!$B:$B, ""), "")</f>
        <v/>
      </c>
      <c r="G534">
        <f>IF(A534&lt;&gt;"", XLOOKUP(A534, Extrato!$D:$D, Extrato!$C:$C, ""), "")</f>
        <v/>
      </c>
      <c r="H534">
        <f>IF(A534="", "", IF(E534="", "Pendente", IF(C534=G534, "OK", "Valor divergente")))</f>
        <v/>
      </c>
    </row>
    <row r="535">
      <c r="A535">
        <f>IF(NF!A533&lt;&gt;"", NF!A533, "")</f>
        <v/>
      </c>
      <c r="B535">
        <f>IF(A535&lt;&gt;"", NF!B533, "")</f>
        <v/>
      </c>
      <c r="C535">
        <f>IF(A535&lt;&gt;"", NF!C533, "")</f>
        <v/>
      </c>
      <c r="D535">
        <f>IF(A535&lt;&gt;"", NF!D533, "")</f>
        <v/>
      </c>
      <c r="E535">
        <f>IF(A535&lt;&gt;"", XLOOKUP(A535, Extrato!$D:$D, Extrato!$A:$A, ""), "")</f>
        <v/>
      </c>
      <c r="F535">
        <f>IF(A535&lt;&gt;"", XLOOKUP(A535, Extrato!$D:$D, Extrato!$B:$B, ""), "")</f>
        <v/>
      </c>
      <c r="G535">
        <f>IF(A535&lt;&gt;"", XLOOKUP(A535, Extrato!$D:$D, Extrato!$C:$C, ""), "")</f>
        <v/>
      </c>
      <c r="H535">
        <f>IF(A535="", "", IF(E535="", "Pendente", IF(C535=G535, "OK", "Valor divergente")))</f>
        <v/>
      </c>
    </row>
    <row r="536">
      <c r="A536">
        <f>IF(NF!A534&lt;&gt;"", NF!A534, "")</f>
        <v/>
      </c>
      <c r="B536">
        <f>IF(A536&lt;&gt;"", NF!B534, "")</f>
        <v/>
      </c>
      <c r="C536">
        <f>IF(A536&lt;&gt;"", NF!C534, "")</f>
        <v/>
      </c>
      <c r="D536">
        <f>IF(A536&lt;&gt;"", NF!D534, "")</f>
        <v/>
      </c>
      <c r="E536">
        <f>IF(A536&lt;&gt;"", XLOOKUP(A536, Extrato!$D:$D, Extrato!$A:$A, ""), "")</f>
        <v/>
      </c>
      <c r="F536">
        <f>IF(A536&lt;&gt;"", XLOOKUP(A536, Extrato!$D:$D, Extrato!$B:$B, ""), "")</f>
        <v/>
      </c>
      <c r="G536">
        <f>IF(A536&lt;&gt;"", XLOOKUP(A536, Extrato!$D:$D, Extrato!$C:$C, ""), "")</f>
        <v/>
      </c>
      <c r="H536">
        <f>IF(A536="", "", IF(E536="", "Pendente", IF(C536=G536, "OK", "Valor divergente")))</f>
        <v/>
      </c>
    </row>
    <row r="537">
      <c r="A537">
        <f>IF(NF!A535&lt;&gt;"", NF!A535, "")</f>
        <v/>
      </c>
      <c r="B537">
        <f>IF(A537&lt;&gt;"", NF!B535, "")</f>
        <v/>
      </c>
      <c r="C537">
        <f>IF(A537&lt;&gt;"", NF!C535, "")</f>
        <v/>
      </c>
      <c r="D537">
        <f>IF(A537&lt;&gt;"", NF!D535, "")</f>
        <v/>
      </c>
      <c r="E537">
        <f>IF(A537&lt;&gt;"", XLOOKUP(A537, Extrato!$D:$D, Extrato!$A:$A, ""), "")</f>
        <v/>
      </c>
      <c r="F537">
        <f>IF(A537&lt;&gt;"", XLOOKUP(A537, Extrato!$D:$D, Extrato!$B:$B, ""), "")</f>
        <v/>
      </c>
      <c r="G537">
        <f>IF(A537&lt;&gt;"", XLOOKUP(A537, Extrato!$D:$D, Extrato!$C:$C, ""), "")</f>
        <v/>
      </c>
      <c r="H537">
        <f>IF(A537="", "", IF(E537="", "Pendente", IF(C537=G537, "OK", "Valor divergente")))</f>
        <v/>
      </c>
    </row>
    <row r="538">
      <c r="A538">
        <f>IF(NF!A536&lt;&gt;"", NF!A536, "")</f>
        <v/>
      </c>
      <c r="B538">
        <f>IF(A538&lt;&gt;"", NF!B536, "")</f>
        <v/>
      </c>
      <c r="C538">
        <f>IF(A538&lt;&gt;"", NF!C536, "")</f>
        <v/>
      </c>
      <c r="D538">
        <f>IF(A538&lt;&gt;"", NF!D536, "")</f>
        <v/>
      </c>
      <c r="E538">
        <f>IF(A538&lt;&gt;"", XLOOKUP(A538, Extrato!$D:$D, Extrato!$A:$A, ""), "")</f>
        <v/>
      </c>
      <c r="F538">
        <f>IF(A538&lt;&gt;"", XLOOKUP(A538, Extrato!$D:$D, Extrato!$B:$B, ""), "")</f>
        <v/>
      </c>
      <c r="G538">
        <f>IF(A538&lt;&gt;"", XLOOKUP(A538, Extrato!$D:$D, Extrato!$C:$C, ""), "")</f>
        <v/>
      </c>
      <c r="H538">
        <f>IF(A538="", "", IF(E538="", "Pendente", IF(C538=G538, "OK", "Valor divergente")))</f>
        <v/>
      </c>
    </row>
    <row r="539">
      <c r="A539">
        <f>IF(NF!A537&lt;&gt;"", NF!A537, "")</f>
        <v/>
      </c>
      <c r="B539">
        <f>IF(A539&lt;&gt;"", NF!B537, "")</f>
        <v/>
      </c>
      <c r="C539">
        <f>IF(A539&lt;&gt;"", NF!C537, "")</f>
        <v/>
      </c>
      <c r="D539">
        <f>IF(A539&lt;&gt;"", NF!D537, "")</f>
        <v/>
      </c>
      <c r="E539">
        <f>IF(A539&lt;&gt;"", XLOOKUP(A539, Extrato!$D:$D, Extrato!$A:$A, ""), "")</f>
        <v/>
      </c>
      <c r="F539">
        <f>IF(A539&lt;&gt;"", XLOOKUP(A539, Extrato!$D:$D, Extrato!$B:$B, ""), "")</f>
        <v/>
      </c>
      <c r="G539">
        <f>IF(A539&lt;&gt;"", XLOOKUP(A539, Extrato!$D:$D, Extrato!$C:$C, ""), "")</f>
        <v/>
      </c>
      <c r="H539">
        <f>IF(A539="", "", IF(E539="", "Pendente", IF(C539=G539, "OK", "Valor divergente")))</f>
        <v/>
      </c>
    </row>
    <row r="540">
      <c r="A540">
        <f>IF(NF!A538&lt;&gt;"", NF!A538, "")</f>
        <v/>
      </c>
      <c r="B540">
        <f>IF(A540&lt;&gt;"", NF!B538, "")</f>
        <v/>
      </c>
      <c r="C540">
        <f>IF(A540&lt;&gt;"", NF!C538, "")</f>
        <v/>
      </c>
      <c r="D540">
        <f>IF(A540&lt;&gt;"", NF!D538, "")</f>
        <v/>
      </c>
      <c r="E540">
        <f>IF(A540&lt;&gt;"", XLOOKUP(A540, Extrato!$D:$D, Extrato!$A:$A, ""), "")</f>
        <v/>
      </c>
      <c r="F540">
        <f>IF(A540&lt;&gt;"", XLOOKUP(A540, Extrato!$D:$D, Extrato!$B:$B, ""), "")</f>
        <v/>
      </c>
      <c r="G540">
        <f>IF(A540&lt;&gt;"", XLOOKUP(A540, Extrato!$D:$D, Extrato!$C:$C, ""), "")</f>
        <v/>
      </c>
      <c r="H540">
        <f>IF(A540="", "", IF(E540="", "Pendente", IF(C540=G540, "OK", "Valor divergente")))</f>
        <v/>
      </c>
    </row>
    <row r="541">
      <c r="A541">
        <f>IF(NF!A539&lt;&gt;"", NF!A539, "")</f>
        <v/>
      </c>
      <c r="B541">
        <f>IF(A541&lt;&gt;"", NF!B539, "")</f>
        <v/>
      </c>
      <c r="C541">
        <f>IF(A541&lt;&gt;"", NF!C539, "")</f>
        <v/>
      </c>
      <c r="D541">
        <f>IF(A541&lt;&gt;"", NF!D539, "")</f>
        <v/>
      </c>
      <c r="E541">
        <f>IF(A541&lt;&gt;"", XLOOKUP(A541, Extrato!$D:$D, Extrato!$A:$A, ""), "")</f>
        <v/>
      </c>
      <c r="F541">
        <f>IF(A541&lt;&gt;"", XLOOKUP(A541, Extrato!$D:$D, Extrato!$B:$B, ""), "")</f>
        <v/>
      </c>
      <c r="G541">
        <f>IF(A541&lt;&gt;"", XLOOKUP(A541, Extrato!$D:$D, Extrato!$C:$C, ""), "")</f>
        <v/>
      </c>
      <c r="H541">
        <f>IF(A541="", "", IF(E541="", "Pendente", IF(C541=G541, "OK", "Valor divergente")))</f>
        <v/>
      </c>
    </row>
    <row r="542">
      <c r="A542">
        <f>IF(NF!A540&lt;&gt;"", NF!A540, "")</f>
        <v/>
      </c>
      <c r="B542">
        <f>IF(A542&lt;&gt;"", NF!B540, "")</f>
        <v/>
      </c>
      <c r="C542">
        <f>IF(A542&lt;&gt;"", NF!C540, "")</f>
        <v/>
      </c>
      <c r="D542">
        <f>IF(A542&lt;&gt;"", NF!D540, "")</f>
        <v/>
      </c>
      <c r="E542">
        <f>IF(A542&lt;&gt;"", XLOOKUP(A542, Extrato!$D:$D, Extrato!$A:$A, ""), "")</f>
        <v/>
      </c>
      <c r="F542">
        <f>IF(A542&lt;&gt;"", XLOOKUP(A542, Extrato!$D:$D, Extrato!$B:$B, ""), "")</f>
        <v/>
      </c>
      <c r="G542">
        <f>IF(A542&lt;&gt;"", XLOOKUP(A542, Extrato!$D:$D, Extrato!$C:$C, ""), "")</f>
        <v/>
      </c>
      <c r="H542">
        <f>IF(A542="", "", IF(E542="", "Pendente", IF(C542=G542, "OK", "Valor divergente")))</f>
        <v/>
      </c>
    </row>
    <row r="543">
      <c r="A543">
        <f>IF(NF!A541&lt;&gt;"", NF!A541, "")</f>
        <v/>
      </c>
      <c r="B543">
        <f>IF(A543&lt;&gt;"", NF!B541, "")</f>
        <v/>
      </c>
      <c r="C543">
        <f>IF(A543&lt;&gt;"", NF!C541, "")</f>
        <v/>
      </c>
      <c r="D543">
        <f>IF(A543&lt;&gt;"", NF!D541, "")</f>
        <v/>
      </c>
      <c r="E543">
        <f>IF(A543&lt;&gt;"", XLOOKUP(A543, Extrato!$D:$D, Extrato!$A:$A, ""), "")</f>
        <v/>
      </c>
      <c r="F543">
        <f>IF(A543&lt;&gt;"", XLOOKUP(A543, Extrato!$D:$D, Extrato!$B:$B, ""), "")</f>
        <v/>
      </c>
      <c r="G543">
        <f>IF(A543&lt;&gt;"", XLOOKUP(A543, Extrato!$D:$D, Extrato!$C:$C, ""), "")</f>
        <v/>
      </c>
      <c r="H543">
        <f>IF(A543="", "", IF(E543="", "Pendente", IF(C543=G543, "OK", "Valor divergente")))</f>
        <v/>
      </c>
    </row>
    <row r="544">
      <c r="A544">
        <f>IF(NF!A542&lt;&gt;"", NF!A542, "")</f>
        <v/>
      </c>
      <c r="B544">
        <f>IF(A544&lt;&gt;"", NF!B542, "")</f>
        <v/>
      </c>
      <c r="C544">
        <f>IF(A544&lt;&gt;"", NF!C542, "")</f>
        <v/>
      </c>
      <c r="D544">
        <f>IF(A544&lt;&gt;"", NF!D542, "")</f>
        <v/>
      </c>
      <c r="E544">
        <f>IF(A544&lt;&gt;"", XLOOKUP(A544, Extrato!$D:$D, Extrato!$A:$A, ""), "")</f>
        <v/>
      </c>
      <c r="F544">
        <f>IF(A544&lt;&gt;"", XLOOKUP(A544, Extrato!$D:$D, Extrato!$B:$B, ""), "")</f>
        <v/>
      </c>
      <c r="G544">
        <f>IF(A544&lt;&gt;"", XLOOKUP(A544, Extrato!$D:$D, Extrato!$C:$C, ""), "")</f>
        <v/>
      </c>
      <c r="H544">
        <f>IF(A544="", "", IF(E544="", "Pendente", IF(C544=G544, "OK", "Valor divergente")))</f>
        <v/>
      </c>
    </row>
    <row r="545">
      <c r="A545">
        <f>IF(NF!A543&lt;&gt;"", NF!A543, "")</f>
        <v/>
      </c>
      <c r="B545">
        <f>IF(A545&lt;&gt;"", NF!B543, "")</f>
        <v/>
      </c>
      <c r="C545">
        <f>IF(A545&lt;&gt;"", NF!C543, "")</f>
        <v/>
      </c>
      <c r="D545">
        <f>IF(A545&lt;&gt;"", NF!D543, "")</f>
        <v/>
      </c>
      <c r="E545">
        <f>IF(A545&lt;&gt;"", XLOOKUP(A545, Extrato!$D:$D, Extrato!$A:$A, ""), "")</f>
        <v/>
      </c>
      <c r="F545">
        <f>IF(A545&lt;&gt;"", XLOOKUP(A545, Extrato!$D:$D, Extrato!$B:$B, ""), "")</f>
        <v/>
      </c>
      <c r="G545">
        <f>IF(A545&lt;&gt;"", XLOOKUP(A545, Extrato!$D:$D, Extrato!$C:$C, ""), "")</f>
        <v/>
      </c>
      <c r="H545">
        <f>IF(A545="", "", IF(E545="", "Pendente", IF(C545=G545, "OK", "Valor divergente")))</f>
        <v/>
      </c>
    </row>
    <row r="546">
      <c r="A546">
        <f>IF(NF!A544&lt;&gt;"", NF!A544, "")</f>
        <v/>
      </c>
      <c r="B546">
        <f>IF(A546&lt;&gt;"", NF!B544, "")</f>
        <v/>
      </c>
      <c r="C546">
        <f>IF(A546&lt;&gt;"", NF!C544, "")</f>
        <v/>
      </c>
      <c r="D546">
        <f>IF(A546&lt;&gt;"", NF!D544, "")</f>
        <v/>
      </c>
      <c r="E546">
        <f>IF(A546&lt;&gt;"", XLOOKUP(A546, Extrato!$D:$D, Extrato!$A:$A, ""), "")</f>
        <v/>
      </c>
      <c r="F546">
        <f>IF(A546&lt;&gt;"", XLOOKUP(A546, Extrato!$D:$D, Extrato!$B:$B, ""), "")</f>
        <v/>
      </c>
      <c r="G546">
        <f>IF(A546&lt;&gt;"", XLOOKUP(A546, Extrato!$D:$D, Extrato!$C:$C, ""), "")</f>
        <v/>
      </c>
      <c r="H546">
        <f>IF(A546="", "", IF(E546="", "Pendente", IF(C546=G546, "OK", "Valor divergente")))</f>
        <v/>
      </c>
    </row>
    <row r="547">
      <c r="A547">
        <f>IF(NF!A545&lt;&gt;"", NF!A545, "")</f>
        <v/>
      </c>
      <c r="B547">
        <f>IF(A547&lt;&gt;"", NF!B545, "")</f>
        <v/>
      </c>
      <c r="C547">
        <f>IF(A547&lt;&gt;"", NF!C545, "")</f>
        <v/>
      </c>
      <c r="D547">
        <f>IF(A547&lt;&gt;"", NF!D545, "")</f>
        <v/>
      </c>
      <c r="E547">
        <f>IF(A547&lt;&gt;"", XLOOKUP(A547, Extrato!$D:$D, Extrato!$A:$A, ""), "")</f>
        <v/>
      </c>
      <c r="F547">
        <f>IF(A547&lt;&gt;"", XLOOKUP(A547, Extrato!$D:$D, Extrato!$B:$B, ""), "")</f>
        <v/>
      </c>
      <c r="G547">
        <f>IF(A547&lt;&gt;"", XLOOKUP(A547, Extrato!$D:$D, Extrato!$C:$C, ""), "")</f>
        <v/>
      </c>
      <c r="H547">
        <f>IF(A547="", "", IF(E547="", "Pendente", IF(C547=G547, "OK", "Valor divergente")))</f>
        <v/>
      </c>
    </row>
    <row r="548">
      <c r="A548">
        <f>IF(NF!A546&lt;&gt;"", NF!A546, "")</f>
        <v/>
      </c>
      <c r="B548">
        <f>IF(A548&lt;&gt;"", NF!B546, "")</f>
        <v/>
      </c>
      <c r="C548">
        <f>IF(A548&lt;&gt;"", NF!C546, "")</f>
        <v/>
      </c>
      <c r="D548">
        <f>IF(A548&lt;&gt;"", NF!D546, "")</f>
        <v/>
      </c>
      <c r="E548">
        <f>IF(A548&lt;&gt;"", XLOOKUP(A548, Extrato!$D:$D, Extrato!$A:$A, ""), "")</f>
        <v/>
      </c>
      <c r="F548">
        <f>IF(A548&lt;&gt;"", XLOOKUP(A548, Extrato!$D:$D, Extrato!$B:$B, ""), "")</f>
        <v/>
      </c>
      <c r="G548">
        <f>IF(A548&lt;&gt;"", XLOOKUP(A548, Extrato!$D:$D, Extrato!$C:$C, ""), "")</f>
        <v/>
      </c>
      <c r="H548">
        <f>IF(A548="", "", IF(E548="", "Pendente", IF(C548=G548, "OK", "Valor divergente")))</f>
        <v/>
      </c>
    </row>
    <row r="549">
      <c r="A549">
        <f>IF(NF!A547&lt;&gt;"", NF!A547, "")</f>
        <v/>
      </c>
      <c r="B549">
        <f>IF(A549&lt;&gt;"", NF!B547, "")</f>
        <v/>
      </c>
      <c r="C549">
        <f>IF(A549&lt;&gt;"", NF!C547, "")</f>
        <v/>
      </c>
      <c r="D549">
        <f>IF(A549&lt;&gt;"", NF!D547, "")</f>
        <v/>
      </c>
      <c r="E549">
        <f>IF(A549&lt;&gt;"", XLOOKUP(A549, Extrato!$D:$D, Extrato!$A:$A, ""), "")</f>
        <v/>
      </c>
      <c r="F549">
        <f>IF(A549&lt;&gt;"", XLOOKUP(A549, Extrato!$D:$D, Extrato!$B:$B, ""), "")</f>
        <v/>
      </c>
      <c r="G549">
        <f>IF(A549&lt;&gt;"", XLOOKUP(A549, Extrato!$D:$D, Extrato!$C:$C, ""), "")</f>
        <v/>
      </c>
      <c r="H549">
        <f>IF(A549="", "", IF(E549="", "Pendente", IF(C549=G549, "OK", "Valor divergente")))</f>
        <v/>
      </c>
    </row>
    <row r="550">
      <c r="A550">
        <f>IF(NF!A548&lt;&gt;"", NF!A548, "")</f>
        <v/>
      </c>
      <c r="B550">
        <f>IF(A550&lt;&gt;"", NF!B548, "")</f>
        <v/>
      </c>
      <c r="C550">
        <f>IF(A550&lt;&gt;"", NF!C548, "")</f>
        <v/>
      </c>
      <c r="D550">
        <f>IF(A550&lt;&gt;"", NF!D548, "")</f>
        <v/>
      </c>
      <c r="E550">
        <f>IF(A550&lt;&gt;"", XLOOKUP(A550, Extrato!$D:$D, Extrato!$A:$A, ""), "")</f>
        <v/>
      </c>
      <c r="F550">
        <f>IF(A550&lt;&gt;"", XLOOKUP(A550, Extrato!$D:$D, Extrato!$B:$B, ""), "")</f>
        <v/>
      </c>
      <c r="G550">
        <f>IF(A550&lt;&gt;"", XLOOKUP(A550, Extrato!$D:$D, Extrato!$C:$C, ""), "")</f>
        <v/>
      </c>
      <c r="H550">
        <f>IF(A550="", "", IF(E550="", "Pendente", IF(C550=G550, "OK", "Valor divergente")))</f>
        <v/>
      </c>
    </row>
    <row r="551">
      <c r="A551">
        <f>IF(NF!A549&lt;&gt;"", NF!A549, "")</f>
        <v/>
      </c>
      <c r="B551">
        <f>IF(A551&lt;&gt;"", NF!B549, "")</f>
        <v/>
      </c>
      <c r="C551">
        <f>IF(A551&lt;&gt;"", NF!C549, "")</f>
        <v/>
      </c>
      <c r="D551">
        <f>IF(A551&lt;&gt;"", NF!D549, "")</f>
        <v/>
      </c>
      <c r="E551">
        <f>IF(A551&lt;&gt;"", XLOOKUP(A551, Extrato!$D:$D, Extrato!$A:$A, ""), "")</f>
        <v/>
      </c>
      <c r="F551">
        <f>IF(A551&lt;&gt;"", XLOOKUP(A551, Extrato!$D:$D, Extrato!$B:$B, ""), "")</f>
        <v/>
      </c>
      <c r="G551">
        <f>IF(A551&lt;&gt;"", XLOOKUP(A551, Extrato!$D:$D, Extrato!$C:$C, ""), "")</f>
        <v/>
      </c>
      <c r="H551">
        <f>IF(A551="", "", IF(E551="", "Pendente", IF(C551=G551, "OK", "Valor divergente")))</f>
        <v/>
      </c>
    </row>
    <row r="552">
      <c r="A552">
        <f>IF(NF!A550&lt;&gt;"", NF!A550, "")</f>
        <v/>
      </c>
      <c r="B552">
        <f>IF(A552&lt;&gt;"", NF!B550, "")</f>
        <v/>
      </c>
      <c r="C552">
        <f>IF(A552&lt;&gt;"", NF!C550, "")</f>
        <v/>
      </c>
      <c r="D552">
        <f>IF(A552&lt;&gt;"", NF!D550, "")</f>
        <v/>
      </c>
      <c r="E552">
        <f>IF(A552&lt;&gt;"", XLOOKUP(A552, Extrato!$D:$D, Extrato!$A:$A, ""), "")</f>
        <v/>
      </c>
      <c r="F552">
        <f>IF(A552&lt;&gt;"", XLOOKUP(A552, Extrato!$D:$D, Extrato!$B:$B, ""), "")</f>
        <v/>
      </c>
      <c r="G552">
        <f>IF(A552&lt;&gt;"", XLOOKUP(A552, Extrato!$D:$D, Extrato!$C:$C, ""), "")</f>
        <v/>
      </c>
      <c r="H552">
        <f>IF(A552="", "", IF(E552="", "Pendente", IF(C552=G552, "OK", "Valor divergente")))</f>
        <v/>
      </c>
    </row>
    <row r="553">
      <c r="A553">
        <f>IF(NF!A551&lt;&gt;"", NF!A551, "")</f>
        <v/>
      </c>
      <c r="B553">
        <f>IF(A553&lt;&gt;"", NF!B551, "")</f>
        <v/>
      </c>
      <c r="C553">
        <f>IF(A553&lt;&gt;"", NF!C551, "")</f>
        <v/>
      </c>
      <c r="D553">
        <f>IF(A553&lt;&gt;"", NF!D551, "")</f>
        <v/>
      </c>
      <c r="E553">
        <f>IF(A553&lt;&gt;"", XLOOKUP(A553, Extrato!$D:$D, Extrato!$A:$A, ""), "")</f>
        <v/>
      </c>
      <c r="F553">
        <f>IF(A553&lt;&gt;"", XLOOKUP(A553, Extrato!$D:$D, Extrato!$B:$B, ""), "")</f>
        <v/>
      </c>
      <c r="G553">
        <f>IF(A553&lt;&gt;"", XLOOKUP(A553, Extrato!$D:$D, Extrato!$C:$C, ""), "")</f>
        <v/>
      </c>
      <c r="H553">
        <f>IF(A553="", "", IF(E553="", "Pendente", IF(C553=G553, "OK", "Valor divergente")))</f>
        <v/>
      </c>
    </row>
    <row r="554">
      <c r="A554">
        <f>IF(NF!A552&lt;&gt;"", NF!A552, "")</f>
        <v/>
      </c>
      <c r="B554">
        <f>IF(A554&lt;&gt;"", NF!B552, "")</f>
        <v/>
      </c>
      <c r="C554">
        <f>IF(A554&lt;&gt;"", NF!C552, "")</f>
        <v/>
      </c>
      <c r="D554">
        <f>IF(A554&lt;&gt;"", NF!D552, "")</f>
        <v/>
      </c>
      <c r="E554">
        <f>IF(A554&lt;&gt;"", XLOOKUP(A554, Extrato!$D:$D, Extrato!$A:$A, ""), "")</f>
        <v/>
      </c>
      <c r="F554">
        <f>IF(A554&lt;&gt;"", XLOOKUP(A554, Extrato!$D:$D, Extrato!$B:$B, ""), "")</f>
        <v/>
      </c>
      <c r="G554">
        <f>IF(A554&lt;&gt;"", XLOOKUP(A554, Extrato!$D:$D, Extrato!$C:$C, ""), "")</f>
        <v/>
      </c>
      <c r="H554">
        <f>IF(A554="", "", IF(E554="", "Pendente", IF(C554=G554, "OK", "Valor divergente")))</f>
        <v/>
      </c>
    </row>
    <row r="555">
      <c r="A555">
        <f>IF(NF!A553&lt;&gt;"", NF!A553, "")</f>
        <v/>
      </c>
      <c r="B555">
        <f>IF(A555&lt;&gt;"", NF!B553, "")</f>
        <v/>
      </c>
      <c r="C555">
        <f>IF(A555&lt;&gt;"", NF!C553, "")</f>
        <v/>
      </c>
      <c r="D555">
        <f>IF(A555&lt;&gt;"", NF!D553, "")</f>
        <v/>
      </c>
      <c r="E555">
        <f>IF(A555&lt;&gt;"", XLOOKUP(A555, Extrato!$D:$D, Extrato!$A:$A, ""), "")</f>
        <v/>
      </c>
      <c r="F555">
        <f>IF(A555&lt;&gt;"", XLOOKUP(A555, Extrato!$D:$D, Extrato!$B:$B, ""), "")</f>
        <v/>
      </c>
      <c r="G555">
        <f>IF(A555&lt;&gt;"", XLOOKUP(A555, Extrato!$D:$D, Extrato!$C:$C, ""), "")</f>
        <v/>
      </c>
      <c r="H555">
        <f>IF(A555="", "", IF(E555="", "Pendente", IF(C555=G555, "OK", "Valor divergente")))</f>
        <v/>
      </c>
    </row>
    <row r="556">
      <c r="A556">
        <f>IF(NF!A554&lt;&gt;"", NF!A554, "")</f>
        <v/>
      </c>
      <c r="B556">
        <f>IF(A556&lt;&gt;"", NF!B554, "")</f>
        <v/>
      </c>
      <c r="C556">
        <f>IF(A556&lt;&gt;"", NF!C554, "")</f>
        <v/>
      </c>
      <c r="D556">
        <f>IF(A556&lt;&gt;"", NF!D554, "")</f>
        <v/>
      </c>
      <c r="E556">
        <f>IF(A556&lt;&gt;"", XLOOKUP(A556, Extrato!$D:$D, Extrato!$A:$A, ""), "")</f>
        <v/>
      </c>
      <c r="F556">
        <f>IF(A556&lt;&gt;"", XLOOKUP(A556, Extrato!$D:$D, Extrato!$B:$B, ""), "")</f>
        <v/>
      </c>
      <c r="G556">
        <f>IF(A556&lt;&gt;"", XLOOKUP(A556, Extrato!$D:$D, Extrato!$C:$C, ""), "")</f>
        <v/>
      </c>
      <c r="H556">
        <f>IF(A556="", "", IF(E556="", "Pendente", IF(C556=G556, "OK", "Valor divergente")))</f>
        <v/>
      </c>
    </row>
    <row r="557">
      <c r="A557">
        <f>IF(NF!A555&lt;&gt;"", NF!A555, "")</f>
        <v/>
      </c>
      <c r="B557">
        <f>IF(A557&lt;&gt;"", NF!B555, "")</f>
        <v/>
      </c>
      <c r="C557">
        <f>IF(A557&lt;&gt;"", NF!C555, "")</f>
        <v/>
      </c>
      <c r="D557">
        <f>IF(A557&lt;&gt;"", NF!D555, "")</f>
        <v/>
      </c>
      <c r="E557">
        <f>IF(A557&lt;&gt;"", XLOOKUP(A557, Extrato!$D:$D, Extrato!$A:$A, ""), "")</f>
        <v/>
      </c>
      <c r="F557">
        <f>IF(A557&lt;&gt;"", XLOOKUP(A557, Extrato!$D:$D, Extrato!$B:$B, ""), "")</f>
        <v/>
      </c>
      <c r="G557">
        <f>IF(A557&lt;&gt;"", XLOOKUP(A557, Extrato!$D:$D, Extrato!$C:$C, ""), "")</f>
        <v/>
      </c>
      <c r="H557">
        <f>IF(A557="", "", IF(E557="", "Pendente", IF(C557=G557, "OK", "Valor divergente")))</f>
        <v/>
      </c>
    </row>
    <row r="558">
      <c r="A558">
        <f>IF(NF!A556&lt;&gt;"", NF!A556, "")</f>
        <v/>
      </c>
      <c r="B558">
        <f>IF(A558&lt;&gt;"", NF!B556, "")</f>
        <v/>
      </c>
      <c r="C558">
        <f>IF(A558&lt;&gt;"", NF!C556, "")</f>
        <v/>
      </c>
      <c r="D558">
        <f>IF(A558&lt;&gt;"", NF!D556, "")</f>
        <v/>
      </c>
      <c r="E558">
        <f>IF(A558&lt;&gt;"", XLOOKUP(A558, Extrato!$D:$D, Extrato!$A:$A, ""), "")</f>
        <v/>
      </c>
      <c r="F558">
        <f>IF(A558&lt;&gt;"", XLOOKUP(A558, Extrato!$D:$D, Extrato!$B:$B, ""), "")</f>
        <v/>
      </c>
      <c r="G558">
        <f>IF(A558&lt;&gt;"", XLOOKUP(A558, Extrato!$D:$D, Extrato!$C:$C, ""), "")</f>
        <v/>
      </c>
      <c r="H558">
        <f>IF(A558="", "", IF(E558="", "Pendente", IF(C558=G558, "OK", "Valor divergente")))</f>
        <v/>
      </c>
    </row>
    <row r="559">
      <c r="A559">
        <f>IF(NF!A557&lt;&gt;"", NF!A557, "")</f>
        <v/>
      </c>
      <c r="B559">
        <f>IF(A559&lt;&gt;"", NF!B557, "")</f>
        <v/>
      </c>
      <c r="C559">
        <f>IF(A559&lt;&gt;"", NF!C557, "")</f>
        <v/>
      </c>
      <c r="D559">
        <f>IF(A559&lt;&gt;"", NF!D557, "")</f>
        <v/>
      </c>
      <c r="E559">
        <f>IF(A559&lt;&gt;"", XLOOKUP(A559, Extrato!$D:$D, Extrato!$A:$A, ""), "")</f>
        <v/>
      </c>
      <c r="F559">
        <f>IF(A559&lt;&gt;"", XLOOKUP(A559, Extrato!$D:$D, Extrato!$B:$B, ""), "")</f>
        <v/>
      </c>
      <c r="G559">
        <f>IF(A559&lt;&gt;"", XLOOKUP(A559, Extrato!$D:$D, Extrato!$C:$C, ""), "")</f>
        <v/>
      </c>
      <c r="H559">
        <f>IF(A559="", "", IF(E559="", "Pendente", IF(C559=G559, "OK", "Valor divergente")))</f>
        <v/>
      </c>
    </row>
    <row r="560">
      <c r="A560">
        <f>IF(NF!A558&lt;&gt;"", NF!A558, "")</f>
        <v/>
      </c>
      <c r="B560">
        <f>IF(A560&lt;&gt;"", NF!B558, "")</f>
        <v/>
      </c>
      <c r="C560">
        <f>IF(A560&lt;&gt;"", NF!C558, "")</f>
        <v/>
      </c>
      <c r="D560">
        <f>IF(A560&lt;&gt;"", NF!D558, "")</f>
        <v/>
      </c>
      <c r="E560">
        <f>IF(A560&lt;&gt;"", XLOOKUP(A560, Extrato!$D:$D, Extrato!$A:$A, ""), "")</f>
        <v/>
      </c>
      <c r="F560">
        <f>IF(A560&lt;&gt;"", XLOOKUP(A560, Extrato!$D:$D, Extrato!$B:$B, ""), "")</f>
        <v/>
      </c>
      <c r="G560">
        <f>IF(A560&lt;&gt;"", XLOOKUP(A560, Extrato!$D:$D, Extrato!$C:$C, ""), "")</f>
        <v/>
      </c>
      <c r="H560">
        <f>IF(A560="", "", IF(E560="", "Pendente", IF(C560=G560, "OK", "Valor divergente")))</f>
        <v/>
      </c>
    </row>
    <row r="561">
      <c r="A561">
        <f>IF(NF!A559&lt;&gt;"", NF!A559, "")</f>
        <v/>
      </c>
      <c r="B561">
        <f>IF(A561&lt;&gt;"", NF!B559, "")</f>
        <v/>
      </c>
      <c r="C561">
        <f>IF(A561&lt;&gt;"", NF!C559, "")</f>
        <v/>
      </c>
      <c r="D561">
        <f>IF(A561&lt;&gt;"", NF!D559, "")</f>
        <v/>
      </c>
      <c r="E561">
        <f>IF(A561&lt;&gt;"", XLOOKUP(A561, Extrato!$D:$D, Extrato!$A:$A, ""), "")</f>
        <v/>
      </c>
      <c r="F561">
        <f>IF(A561&lt;&gt;"", XLOOKUP(A561, Extrato!$D:$D, Extrato!$B:$B, ""), "")</f>
        <v/>
      </c>
      <c r="G561">
        <f>IF(A561&lt;&gt;"", XLOOKUP(A561, Extrato!$D:$D, Extrato!$C:$C, ""), "")</f>
        <v/>
      </c>
      <c r="H561">
        <f>IF(A561="", "", IF(E561="", "Pendente", IF(C561=G561, "OK", "Valor divergente")))</f>
        <v/>
      </c>
    </row>
    <row r="562">
      <c r="A562">
        <f>IF(NF!A560&lt;&gt;"", NF!A560, "")</f>
        <v/>
      </c>
      <c r="B562">
        <f>IF(A562&lt;&gt;"", NF!B560, "")</f>
        <v/>
      </c>
      <c r="C562">
        <f>IF(A562&lt;&gt;"", NF!C560, "")</f>
        <v/>
      </c>
      <c r="D562">
        <f>IF(A562&lt;&gt;"", NF!D560, "")</f>
        <v/>
      </c>
      <c r="E562">
        <f>IF(A562&lt;&gt;"", XLOOKUP(A562, Extrato!$D:$D, Extrato!$A:$A, ""), "")</f>
        <v/>
      </c>
      <c r="F562">
        <f>IF(A562&lt;&gt;"", XLOOKUP(A562, Extrato!$D:$D, Extrato!$B:$B, ""), "")</f>
        <v/>
      </c>
      <c r="G562">
        <f>IF(A562&lt;&gt;"", XLOOKUP(A562, Extrato!$D:$D, Extrato!$C:$C, ""), "")</f>
        <v/>
      </c>
      <c r="H562">
        <f>IF(A562="", "", IF(E562="", "Pendente", IF(C562=G562, "OK", "Valor divergente")))</f>
        <v/>
      </c>
    </row>
    <row r="563">
      <c r="A563">
        <f>IF(NF!A561&lt;&gt;"", NF!A561, "")</f>
        <v/>
      </c>
      <c r="B563">
        <f>IF(A563&lt;&gt;"", NF!B561, "")</f>
        <v/>
      </c>
      <c r="C563">
        <f>IF(A563&lt;&gt;"", NF!C561, "")</f>
        <v/>
      </c>
      <c r="D563">
        <f>IF(A563&lt;&gt;"", NF!D561, "")</f>
        <v/>
      </c>
      <c r="E563">
        <f>IF(A563&lt;&gt;"", XLOOKUP(A563, Extrato!$D:$D, Extrato!$A:$A, ""), "")</f>
        <v/>
      </c>
      <c r="F563">
        <f>IF(A563&lt;&gt;"", XLOOKUP(A563, Extrato!$D:$D, Extrato!$B:$B, ""), "")</f>
        <v/>
      </c>
      <c r="G563">
        <f>IF(A563&lt;&gt;"", XLOOKUP(A563, Extrato!$D:$D, Extrato!$C:$C, ""), "")</f>
        <v/>
      </c>
      <c r="H563">
        <f>IF(A563="", "", IF(E563="", "Pendente", IF(C563=G563, "OK", "Valor divergente")))</f>
        <v/>
      </c>
    </row>
    <row r="564">
      <c r="A564">
        <f>IF(NF!A562&lt;&gt;"", NF!A562, "")</f>
        <v/>
      </c>
      <c r="B564">
        <f>IF(A564&lt;&gt;"", NF!B562, "")</f>
        <v/>
      </c>
      <c r="C564">
        <f>IF(A564&lt;&gt;"", NF!C562, "")</f>
        <v/>
      </c>
      <c r="D564">
        <f>IF(A564&lt;&gt;"", NF!D562, "")</f>
        <v/>
      </c>
      <c r="E564">
        <f>IF(A564&lt;&gt;"", XLOOKUP(A564, Extrato!$D:$D, Extrato!$A:$A, ""), "")</f>
        <v/>
      </c>
      <c r="F564">
        <f>IF(A564&lt;&gt;"", XLOOKUP(A564, Extrato!$D:$D, Extrato!$B:$B, ""), "")</f>
        <v/>
      </c>
      <c r="G564">
        <f>IF(A564&lt;&gt;"", XLOOKUP(A564, Extrato!$D:$D, Extrato!$C:$C, ""), "")</f>
        <v/>
      </c>
      <c r="H564">
        <f>IF(A564="", "", IF(E564="", "Pendente", IF(C564=G564, "OK", "Valor divergente")))</f>
        <v/>
      </c>
    </row>
    <row r="565">
      <c r="A565">
        <f>IF(NF!A563&lt;&gt;"", NF!A563, "")</f>
        <v/>
      </c>
      <c r="B565">
        <f>IF(A565&lt;&gt;"", NF!B563, "")</f>
        <v/>
      </c>
      <c r="C565">
        <f>IF(A565&lt;&gt;"", NF!C563, "")</f>
        <v/>
      </c>
      <c r="D565">
        <f>IF(A565&lt;&gt;"", NF!D563, "")</f>
        <v/>
      </c>
      <c r="E565">
        <f>IF(A565&lt;&gt;"", XLOOKUP(A565, Extrato!$D:$D, Extrato!$A:$A, ""), "")</f>
        <v/>
      </c>
      <c r="F565">
        <f>IF(A565&lt;&gt;"", XLOOKUP(A565, Extrato!$D:$D, Extrato!$B:$B, ""), "")</f>
        <v/>
      </c>
      <c r="G565">
        <f>IF(A565&lt;&gt;"", XLOOKUP(A565, Extrato!$D:$D, Extrato!$C:$C, ""), "")</f>
        <v/>
      </c>
      <c r="H565">
        <f>IF(A565="", "", IF(E565="", "Pendente", IF(C565=G565, "OK", "Valor divergente")))</f>
        <v/>
      </c>
    </row>
    <row r="566">
      <c r="A566">
        <f>IF(NF!A564&lt;&gt;"", NF!A564, "")</f>
        <v/>
      </c>
      <c r="B566">
        <f>IF(A566&lt;&gt;"", NF!B564, "")</f>
        <v/>
      </c>
      <c r="C566">
        <f>IF(A566&lt;&gt;"", NF!C564, "")</f>
        <v/>
      </c>
      <c r="D566">
        <f>IF(A566&lt;&gt;"", NF!D564, "")</f>
        <v/>
      </c>
      <c r="E566">
        <f>IF(A566&lt;&gt;"", XLOOKUP(A566, Extrato!$D:$D, Extrato!$A:$A, ""), "")</f>
        <v/>
      </c>
      <c r="F566">
        <f>IF(A566&lt;&gt;"", XLOOKUP(A566, Extrato!$D:$D, Extrato!$B:$B, ""), "")</f>
        <v/>
      </c>
      <c r="G566">
        <f>IF(A566&lt;&gt;"", XLOOKUP(A566, Extrato!$D:$D, Extrato!$C:$C, ""), "")</f>
        <v/>
      </c>
      <c r="H566">
        <f>IF(A566="", "", IF(E566="", "Pendente", IF(C566=G566, "OK", "Valor divergente")))</f>
        <v/>
      </c>
    </row>
    <row r="567">
      <c r="A567">
        <f>IF(NF!A565&lt;&gt;"", NF!A565, "")</f>
        <v/>
      </c>
      <c r="B567">
        <f>IF(A567&lt;&gt;"", NF!B565, "")</f>
        <v/>
      </c>
      <c r="C567">
        <f>IF(A567&lt;&gt;"", NF!C565, "")</f>
        <v/>
      </c>
      <c r="D567">
        <f>IF(A567&lt;&gt;"", NF!D565, "")</f>
        <v/>
      </c>
      <c r="E567">
        <f>IF(A567&lt;&gt;"", XLOOKUP(A567, Extrato!$D:$D, Extrato!$A:$A, ""), "")</f>
        <v/>
      </c>
      <c r="F567">
        <f>IF(A567&lt;&gt;"", XLOOKUP(A567, Extrato!$D:$D, Extrato!$B:$B, ""), "")</f>
        <v/>
      </c>
      <c r="G567">
        <f>IF(A567&lt;&gt;"", XLOOKUP(A567, Extrato!$D:$D, Extrato!$C:$C, ""), "")</f>
        <v/>
      </c>
      <c r="H567">
        <f>IF(A567="", "", IF(E567="", "Pendente", IF(C567=G567, "OK", "Valor divergente")))</f>
        <v/>
      </c>
    </row>
    <row r="568">
      <c r="A568">
        <f>IF(NF!A566&lt;&gt;"", NF!A566, "")</f>
        <v/>
      </c>
      <c r="B568">
        <f>IF(A568&lt;&gt;"", NF!B566, "")</f>
        <v/>
      </c>
      <c r="C568">
        <f>IF(A568&lt;&gt;"", NF!C566, "")</f>
        <v/>
      </c>
      <c r="D568">
        <f>IF(A568&lt;&gt;"", NF!D566, "")</f>
        <v/>
      </c>
      <c r="E568">
        <f>IF(A568&lt;&gt;"", XLOOKUP(A568, Extrato!$D:$D, Extrato!$A:$A, ""), "")</f>
        <v/>
      </c>
      <c r="F568">
        <f>IF(A568&lt;&gt;"", XLOOKUP(A568, Extrato!$D:$D, Extrato!$B:$B, ""), "")</f>
        <v/>
      </c>
      <c r="G568">
        <f>IF(A568&lt;&gt;"", XLOOKUP(A568, Extrato!$D:$D, Extrato!$C:$C, ""), "")</f>
        <v/>
      </c>
      <c r="H568">
        <f>IF(A568="", "", IF(E568="", "Pendente", IF(C568=G568, "OK", "Valor divergente")))</f>
        <v/>
      </c>
    </row>
    <row r="569">
      <c r="A569">
        <f>IF(NF!A567&lt;&gt;"", NF!A567, "")</f>
        <v/>
      </c>
      <c r="B569">
        <f>IF(A569&lt;&gt;"", NF!B567, "")</f>
        <v/>
      </c>
      <c r="C569">
        <f>IF(A569&lt;&gt;"", NF!C567, "")</f>
        <v/>
      </c>
      <c r="D569">
        <f>IF(A569&lt;&gt;"", NF!D567, "")</f>
        <v/>
      </c>
      <c r="E569">
        <f>IF(A569&lt;&gt;"", XLOOKUP(A569, Extrato!$D:$D, Extrato!$A:$A, ""), "")</f>
        <v/>
      </c>
      <c r="F569">
        <f>IF(A569&lt;&gt;"", XLOOKUP(A569, Extrato!$D:$D, Extrato!$B:$B, ""), "")</f>
        <v/>
      </c>
      <c r="G569">
        <f>IF(A569&lt;&gt;"", XLOOKUP(A569, Extrato!$D:$D, Extrato!$C:$C, ""), "")</f>
        <v/>
      </c>
      <c r="H569">
        <f>IF(A569="", "", IF(E569="", "Pendente", IF(C569=G569, "OK", "Valor divergente")))</f>
        <v/>
      </c>
    </row>
    <row r="570">
      <c r="A570">
        <f>IF(NF!A568&lt;&gt;"", NF!A568, "")</f>
        <v/>
      </c>
      <c r="B570">
        <f>IF(A570&lt;&gt;"", NF!B568, "")</f>
        <v/>
      </c>
      <c r="C570">
        <f>IF(A570&lt;&gt;"", NF!C568, "")</f>
        <v/>
      </c>
      <c r="D570">
        <f>IF(A570&lt;&gt;"", NF!D568, "")</f>
        <v/>
      </c>
      <c r="E570">
        <f>IF(A570&lt;&gt;"", XLOOKUP(A570, Extrato!$D:$D, Extrato!$A:$A, ""), "")</f>
        <v/>
      </c>
      <c r="F570">
        <f>IF(A570&lt;&gt;"", XLOOKUP(A570, Extrato!$D:$D, Extrato!$B:$B, ""), "")</f>
        <v/>
      </c>
      <c r="G570">
        <f>IF(A570&lt;&gt;"", XLOOKUP(A570, Extrato!$D:$D, Extrato!$C:$C, ""), "")</f>
        <v/>
      </c>
      <c r="H570">
        <f>IF(A570="", "", IF(E570="", "Pendente", IF(C570=G570, "OK", "Valor divergente")))</f>
        <v/>
      </c>
    </row>
    <row r="571">
      <c r="A571">
        <f>IF(NF!A569&lt;&gt;"", NF!A569, "")</f>
        <v/>
      </c>
      <c r="B571">
        <f>IF(A571&lt;&gt;"", NF!B569, "")</f>
        <v/>
      </c>
      <c r="C571">
        <f>IF(A571&lt;&gt;"", NF!C569, "")</f>
        <v/>
      </c>
      <c r="D571">
        <f>IF(A571&lt;&gt;"", NF!D569, "")</f>
        <v/>
      </c>
      <c r="E571">
        <f>IF(A571&lt;&gt;"", XLOOKUP(A571, Extrato!$D:$D, Extrato!$A:$A, ""), "")</f>
        <v/>
      </c>
      <c r="F571">
        <f>IF(A571&lt;&gt;"", XLOOKUP(A571, Extrato!$D:$D, Extrato!$B:$B, ""), "")</f>
        <v/>
      </c>
      <c r="G571">
        <f>IF(A571&lt;&gt;"", XLOOKUP(A571, Extrato!$D:$D, Extrato!$C:$C, ""), "")</f>
        <v/>
      </c>
      <c r="H571">
        <f>IF(A571="", "", IF(E571="", "Pendente", IF(C571=G571, "OK", "Valor divergente")))</f>
        <v/>
      </c>
    </row>
    <row r="572">
      <c r="A572">
        <f>IF(NF!A570&lt;&gt;"", NF!A570, "")</f>
        <v/>
      </c>
      <c r="B572">
        <f>IF(A572&lt;&gt;"", NF!B570, "")</f>
        <v/>
      </c>
      <c r="C572">
        <f>IF(A572&lt;&gt;"", NF!C570, "")</f>
        <v/>
      </c>
      <c r="D572">
        <f>IF(A572&lt;&gt;"", NF!D570, "")</f>
        <v/>
      </c>
      <c r="E572">
        <f>IF(A572&lt;&gt;"", XLOOKUP(A572, Extrato!$D:$D, Extrato!$A:$A, ""), "")</f>
        <v/>
      </c>
      <c r="F572">
        <f>IF(A572&lt;&gt;"", XLOOKUP(A572, Extrato!$D:$D, Extrato!$B:$B, ""), "")</f>
        <v/>
      </c>
      <c r="G572">
        <f>IF(A572&lt;&gt;"", XLOOKUP(A572, Extrato!$D:$D, Extrato!$C:$C, ""), "")</f>
        <v/>
      </c>
      <c r="H572">
        <f>IF(A572="", "", IF(E572="", "Pendente", IF(C572=G572, "OK", "Valor divergente")))</f>
        <v/>
      </c>
    </row>
    <row r="573">
      <c r="A573">
        <f>IF(NF!A571&lt;&gt;"", NF!A571, "")</f>
        <v/>
      </c>
      <c r="B573">
        <f>IF(A573&lt;&gt;"", NF!B571, "")</f>
        <v/>
      </c>
      <c r="C573">
        <f>IF(A573&lt;&gt;"", NF!C571, "")</f>
        <v/>
      </c>
      <c r="D573">
        <f>IF(A573&lt;&gt;"", NF!D571, "")</f>
        <v/>
      </c>
      <c r="E573">
        <f>IF(A573&lt;&gt;"", XLOOKUP(A573, Extrato!$D:$D, Extrato!$A:$A, ""), "")</f>
        <v/>
      </c>
      <c r="F573">
        <f>IF(A573&lt;&gt;"", XLOOKUP(A573, Extrato!$D:$D, Extrato!$B:$B, ""), "")</f>
        <v/>
      </c>
      <c r="G573">
        <f>IF(A573&lt;&gt;"", XLOOKUP(A573, Extrato!$D:$D, Extrato!$C:$C, ""), "")</f>
        <v/>
      </c>
      <c r="H573">
        <f>IF(A573="", "", IF(E573="", "Pendente", IF(C573=G573, "OK", "Valor divergente")))</f>
        <v/>
      </c>
    </row>
    <row r="574">
      <c r="A574">
        <f>IF(NF!A572&lt;&gt;"", NF!A572, "")</f>
        <v/>
      </c>
      <c r="B574">
        <f>IF(A574&lt;&gt;"", NF!B572, "")</f>
        <v/>
      </c>
      <c r="C574">
        <f>IF(A574&lt;&gt;"", NF!C572, "")</f>
        <v/>
      </c>
      <c r="D574">
        <f>IF(A574&lt;&gt;"", NF!D572, "")</f>
        <v/>
      </c>
      <c r="E574">
        <f>IF(A574&lt;&gt;"", XLOOKUP(A574, Extrato!$D:$D, Extrato!$A:$A, ""), "")</f>
        <v/>
      </c>
      <c r="F574">
        <f>IF(A574&lt;&gt;"", XLOOKUP(A574, Extrato!$D:$D, Extrato!$B:$B, ""), "")</f>
        <v/>
      </c>
      <c r="G574">
        <f>IF(A574&lt;&gt;"", XLOOKUP(A574, Extrato!$D:$D, Extrato!$C:$C, ""), "")</f>
        <v/>
      </c>
      <c r="H574">
        <f>IF(A574="", "", IF(E574="", "Pendente", IF(C574=G574, "OK", "Valor divergente")))</f>
        <v/>
      </c>
    </row>
    <row r="575">
      <c r="A575">
        <f>IF(NF!A573&lt;&gt;"", NF!A573, "")</f>
        <v/>
      </c>
      <c r="B575">
        <f>IF(A575&lt;&gt;"", NF!B573, "")</f>
        <v/>
      </c>
      <c r="C575">
        <f>IF(A575&lt;&gt;"", NF!C573, "")</f>
        <v/>
      </c>
      <c r="D575">
        <f>IF(A575&lt;&gt;"", NF!D573, "")</f>
        <v/>
      </c>
      <c r="E575">
        <f>IF(A575&lt;&gt;"", XLOOKUP(A575, Extrato!$D:$D, Extrato!$A:$A, ""), "")</f>
        <v/>
      </c>
      <c r="F575">
        <f>IF(A575&lt;&gt;"", XLOOKUP(A575, Extrato!$D:$D, Extrato!$B:$B, ""), "")</f>
        <v/>
      </c>
      <c r="G575">
        <f>IF(A575&lt;&gt;"", XLOOKUP(A575, Extrato!$D:$D, Extrato!$C:$C, ""), "")</f>
        <v/>
      </c>
      <c r="H575">
        <f>IF(A575="", "", IF(E575="", "Pendente", IF(C575=G575, "OK", "Valor divergente")))</f>
        <v/>
      </c>
    </row>
    <row r="576">
      <c r="A576">
        <f>IF(NF!A574&lt;&gt;"", NF!A574, "")</f>
        <v/>
      </c>
      <c r="B576">
        <f>IF(A576&lt;&gt;"", NF!B574, "")</f>
        <v/>
      </c>
      <c r="C576">
        <f>IF(A576&lt;&gt;"", NF!C574, "")</f>
        <v/>
      </c>
      <c r="D576">
        <f>IF(A576&lt;&gt;"", NF!D574, "")</f>
        <v/>
      </c>
      <c r="E576">
        <f>IF(A576&lt;&gt;"", XLOOKUP(A576, Extrato!$D:$D, Extrato!$A:$A, ""), "")</f>
        <v/>
      </c>
      <c r="F576">
        <f>IF(A576&lt;&gt;"", XLOOKUP(A576, Extrato!$D:$D, Extrato!$B:$B, ""), "")</f>
        <v/>
      </c>
      <c r="G576">
        <f>IF(A576&lt;&gt;"", XLOOKUP(A576, Extrato!$D:$D, Extrato!$C:$C, ""), "")</f>
        <v/>
      </c>
      <c r="H576">
        <f>IF(A576="", "", IF(E576="", "Pendente", IF(C576=G576, "OK", "Valor divergente")))</f>
        <v/>
      </c>
    </row>
    <row r="577">
      <c r="A577">
        <f>IF(NF!A575&lt;&gt;"", NF!A575, "")</f>
        <v/>
      </c>
      <c r="B577">
        <f>IF(A577&lt;&gt;"", NF!B575, "")</f>
        <v/>
      </c>
      <c r="C577">
        <f>IF(A577&lt;&gt;"", NF!C575, "")</f>
        <v/>
      </c>
      <c r="D577">
        <f>IF(A577&lt;&gt;"", NF!D575, "")</f>
        <v/>
      </c>
      <c r="E577">
        <f>IF(A577&lt;&gt;"", XLOOKUP(A577, Extrato!$D:$D, Extrato!$A:$A, ""), "")</f>
        <v/>
      </c>
      <c r="F577">
        <f>IF(A577&lt;&gt;"", XLOOKUP(A577, Extrato!$D:$D, Extrato!$B:$B, ""), "")</f>
        <v/>
      </c>
      <c r="G577">
        <f>IF(A577&lt;&gt;"", XLOOKUP(A577, Extrato!$D:$D, Extrato!$C:$C, ""), "")</f>
        <v/>
      </c>
      <c r="H577">
        <f>IF(A577="", "", IF(E577="", "Pendente", IF(C577=G577, "OK", "Valor divergente")))</f>
        <v/>
      </c>
    </row>
    <row r="578">
      <c r="A578">
        <f>IF(NF!A576&lt;&gt;"", NF!A576, "")</f>
        <v/>
      </c>
      <c r="B578">
        <f>IF(A578&lt;&gt;"", NF!B576, "")</f>
        <v/>
      </c>
      <c r="C578">
        <f>IF(A578&lt;&gt;"", NF!C576, "")</f>
        <v/>
      </c>
      <c r="D578">
        <f>IF(A578&lt;&gt;"", NF!D576, "")</f>
        <v/>
      </c>
      <c r="E578">
        <f>IF(A578&lt;&gt;"", XLOOKUP(A578, Extrato!$D:$D, Extrato!$A:$A, ""), "")</f>
        <v/>
      </c>
      <c r="F578">
        <f>IF(A578&lt;&gt;"", XLOOKUP(A578, Extrato!$D:$D, Extrato!$B:$B, ""), "")</f>
        <v/>
      </c>
      <c r="G578">
        <f>IF(A578&lt;&gt;"", XLOOKUP(A578, Extrato!$D:$D, Extrato!$C:$C, ""), "")</f>
        <v/>
      </c>
      <c r="H578">
        <f>IF(A578="", "", IF(E578="", "Pendente", IF(C578=G578, "OK", "Valor divergente")))</f>
        <v/>
      </c>
    </row>
    <row r="579">
      <c r="A579">
        <f>IF(NF!A577&lt;&gt;"", NF!A577, "")</f>
        <v/>
      </c>
      <c r="B579">
        <f>IF(A579&lt;&gt;"", NF!B577, "")</f>
        <v/>
      </c>
      <c r="C579">
        <f>IF(A579&lt;&gt;"", NF!C577, "")</f>
        <v/>
      </c>
      <c r="D579">
        <f>IF(A579&lt;&gt;"", NF!D577, "")</f>
        <v/>
      </c>
      <c r="E579">
        <f>IF(A579&lt;&gt;"", XLOOKUP(A579, Extrato!$D:$D, Extrato!$A:$A, ""), "")</f>
        <v/>
      </c>
      <c r="F579">
        <f>IF(A579&lt;&gt;"", XLOOKUP(A579, Extrato!$D:$D, Extrato!$B:$B, ""), "")</f>
        <v/>
      </c>
      <c r="G579">
        <f>IF(A579&lt;&gt;"", XLOOKUP(A579, Extrato!$D:$D, Extrato!$C:$C, ""), "")</f>
        <v/>
      </c>
      <c r="H579">
        <f>IF(A579="", "", IF(E579="", "Pendente", IF(C579=G579, "OK", "Valor divergente")))</f>
        <v/>
      </c>
    </row>
    <row r="580">
      <c r="A580">
        <f>IF(NF!A578&lt;&gt;"", NF!A578, "")</f>
        <v/>
      </c>
      <c r="B580">
        <f>IF(A580&lt;&gt;"", NF!B578, "")</f>
        <v/>
      </c>
      <c r="C580">
        <f>IF(A580&lt;&gt;"", NF!C578, "")</f>
        <v/>
      </c>
      <c r="D580">
        <f>IF(A580&lt;&gt;"", NF!D578, "")</f>
        <v/>
      </c>
      <c r="E580">
        <f>IF(A580&lt;&gt;"", XLOOKUP(A580, Extrato!$D:$D, Extrato!$A:$A, ""), "")</f>
        <v/>
      </c>
      <c r="F580">
        <f>IF(A580&lt;&gt;"", XLOOKUP(A580, Extrato!$D:$D, Extrato!$B:$B, ""), "")</f>
        <v/>
      </c>
      <c r="G580">
        <f>IF(A580&lt;&gt;"", XLOOKUP(A580, Extrato!$D:$D, Extrato!$C:$C, ""), "")</f>
        <v/>
      </c>
      <c r="H580">
        <f>IF(A580="", "", IF(E580="", "Pendente", IF(C580=G580, "OK", "Valor divergente")))</f>
        <v/>
      </c>
    </row>
    <row r="581">
      <c r="A581">
        <f>IF(NF!A579&lt;&gt;"", NF!A579, "")</f>
        <v/>
      </c>
      <c r="B581">
        <f>IF(A581&lt;&gt;"", NF!B579, "")</f>
        <v/>
      </c>
      <c r="C581">
        <f>IF(A581&lt;&gt;"", NF!C579, "")</f>
        <v/>
      </c>
      <c r="D581">
        <f>IF(A581&lt;&gt;"", NF!D579, "")</f>
        <v/>
      </c>
      <c r="E581">
        <f>IF(A581&lt;&gt;"", XLOOKUP(A581, Extrato!$D:$D, Extrato!$A:$A, ""), "")</f>
        <v/>
      </c>
      <c r="F581">
        <f>IF(A581&lt;&gt;"", XLOOKUP(A581, Extrato!$D:$D, Extrato!$B:$B, ""), "")</f>
        <v/>
      </c>
      <c r="G581">
        <f>IF(A581&lt;&gt;"", XLOOKUP(A581, Extrato!$D:$D, Extrato!$C:$C, ""), "")</f>
        <v/>
      </c>
      <c r="H581">
        <f>IF(A581="", "", IF(E581="", "Pendente", IF(C581=G581, "OK", "Valor divergente")))</f>
        <v/>
      </c>
    </row>
    <row r="582">
      <c r="A582">
        <f>IF(NF!A580&lt;&gt;"", NF!A580, "")</f>
        <v/>
      </c>
      <c r="B582">
        <f>IF(A582&lt;&gt;"", NF!B580, "")</f>
        <v/>
      </c>
      <c r="C582">
        <f>IF(A582&lt;&gt;"", NF!C580, "")</f>
        <v/>
      </c>
      <c r="D582">
        <f>IF(A582&lt;&gt;"", NF!D580, "")</f>
        <v/>
      </c>
      <c r="E582">
        <f>IF(A582&lt;&gt;"", XLOOKUP(A582, Extrato!$D:$D, Extrato!$A:$A, ""), "")</f>
        <v/>
      </c>
      <c r="F582">
        <f>IF(A582&lt;&gt;"", XLOOKUP(A582, Extrato!$D:$D, Extrato!$B:$B, ""), "")</f>
        <v/>
      </c>
      <c r="G582">
        <f>IF(A582&lt;&gt;"", XLOOKUP(A582, Extrato!$D:$D, Extrato!$C:$C, ""), "")</f>
        <v/>
      </c>
      <c r="H582">
        <f>IF(A582="", "", IF(E582="", "Pendente", IF(C582=G582, "OK", "Valor divergente")))</f>
        <v/>
      </c>
    </row>
    <row r="583">
      <c r="A583">
        <f>IF(NF!A581&lt;&gt;"", NF!A581, "")</f>
        <v/>
      </c>
      <c r="B583">
        <f>IF(A583&lt;&gt;"", NF!B581, "")</f>
        <v/>
      </c>
      <c r="C583">
        <f>IF(A583&lt;&gt;"", NF!C581, "")</f>
        <v/>
      </c>
      <c r="D583">
        <f>IF(A583&lt;&gt;"", NF!D581, "")</f>
        <v/>
      </c>
      <c r="E583">
        <f>IF(A583&lt;&gt;"", XLOOKUP(A583, Extrato!$D:$D, Extrato!$A:$A, ""), "")</f>
        <v/>
      </c>
      <c r="F583">
        <f>IF(A583&lt;&gt;"", XLOOKUP(A583, Extrato!$D:$D, Extrato!$B:$B, ""), "")</f>
        <v/>
      </c>
      <c r="G583">
        <f>IF(A583&lt;&gt;"", XLOOKUP(A583, Extrato!$D:$D, Extrato!$C:$C, ""), "")</f>
        <v/>
      </c>
      <c r="H583">
        <f>IF(A583="", "", IF(E583="", "Pendente", IF(C583=G583, "OK", "Valor divergente")))</f>
        <v/>
      </c>
    </row>
    <row r="584">
      <c r="A584">
        <f>IF(NF!A582&lt;&gt;"", NF!A582, "")</f>
        <v/>
      </c>
      <c r="B584">
        <f>IF(A584&lt;&gt;"", NF!B582, "")</f>
        <v/>
      </c>
      <c r="C584">
        <f>IF(A584&lt;&gt;"", NF!C582, "")</f>
        <v/>
      </c>
      <c r="D584">
        <f>IF(A584&lt;&gt;"", NF!D582, "")</f>
        <v/>
      </c>
      <c r="E584">
        <f>IF(A584&lt;&gt;"", XLOOKUP(A584, Extrato!$D:$D, Extrato!$A:$A, ""), "")</f>
        <v/>
      </c>
      <c r="F584">
        <f>IF(A584&lt;&gt;"", XLOOKUP(A584, Extrato!$D:$D, Extrato!$B:$B, ""), "")</f>
        <v/>
      </c>
      <c r="G584">
        <f>IF(A584&lt;&gt;"", XLOOKUP(A584, Extrato!$D:$D, Extrato!$C:$C, ""), "")</f>
        <v/>
      </c>
      <c r="H584">
        <f>IF(A584="", "", IF(E584="", "Pendente", IF(C584=G584, "OK", "Valor divergente")))</f>
        <v/>
      </c>
    </row>
    <row r="585">
      <c r="A585">
        <f>IF(NF!A583&lt;&gt;"", NF!A583, "")</f>
        <v/>
      </c>
      <c r="B585">
        <f>IF(A585&lt;&gt;"", NF!B583, "")</f>
        <v/>
      </c>
      <c r="C585">
        <f>IF(A585&lt;&gt;"", NF!C583, "")</f>
        <v/>
      </c>
      <c r="D585">
        <f>IF(A585&lt;&gt;"", NF!D583, "")</f>
        <v/>
      </c>
      <c r="E585">
        <f>IF(A585&lt;&gt;"", XLOOKUP(A585, Extrato!$D:$D, Extrato!$A:$A, ""), "")</f>
        <v/>
      </c>
      <c r="F585">
        <f>IF(A585&lt;&gt;"", XLOOKUP(A585, Extrato!$D:$D, Extrato!$B:$B, ""), "")</f>
        <v/>
      </c>
      <c r="G585">
        <f>IF(A585&lt;&gt;"", XLOOKUP(A585, Extrato!$D:$D, Extrato!$C:$C, ""), "")</f>
        <v/>
      </c>
      <c r="H585">
        <f>IF(A585="", "", IF(E585="", "Pendente", IF(C585=G585, "OK", "Valor divergente")))</f>
        <v/>
      </c>
    </row>
    <row r="586">
      <c r="A586">
        <f>IF(NF!A584&lt;&gt;"", NF!A584, "")</f>
        <v/>
      </c>
      <c r="B586">
        <f>IF(A586&lt;&gt;"", NF!B584, "")</f>
        <v/>
      </c>
      <c r="C586">
        <f>IF(A586&lt;&gt;"", NF!C584, "")</f>
        <v/>
      </c>
      <c r="D586">
        <f>IF(A586&lt;&gt;"", NF!D584, "")</f>
        <v/>
      </c>
      <c r="E586">
        <f>IF(A586&lt;&gt;"", XLOOKUP(A586, Extrato!$D:$D, Extrato!$A:$A, ""), "")</f>
        <v/>
      </c>
      <c r="F586">
        <f>IF(A586&lt;&gt;"", XLOOKUP(A586, Extrato!$D:$D, Extrato!$B:$B, ""), "")</f>
        <v/>
      </c>
      <c r="G586">
        <f>IF(A586&lt;&gt;"", XLOOKUP(A586, Extrato!$D:$D, Extrato!$C:$C, ""), "")</f>
        <v/>
      </c>
      <c r="H586">
        <f>IF(A586="", "", IF(E586="", "Pendente", IF(C586=G586, "OK", "Valor divergente")))</f>
        <v/>
      </c>
    </row>
    <row r="587">
      <c r="A587">
        <f>IF(NF!A585&lt;&gt;"", NF!A585, "")</f>
        <v/>
      </c>
      <c r="B587">
        <f>IF(A587&lt;&gt;"", NF!B585, "")</f>
        <v/>
      </c>
      <c r="C587">
        <f>IF(A587&lt;&gt;"", NF!C585, "")</f>
        <v/>
      </c>
      <c r="D587">
        <f>IF(A587&lt;&gt;"", NF!D585, "")</f>
        <v/>
      </c>
      <c r="E587">
        <f>IF(A587&lt;&gt;"", XLOOKUP(A587, Extrato!$D:$D, Extrato!$A:$A, ""), "")</f>
        <v/>
      </c>
      <c r="F587">
        <f>IF(A587&lt;&gt;"", XLOOKUP(A587, Extrato!$D:$D, Extrato!$B:$B, ""), "")</f>
        <v/>
      </c>
      <c r="G587">
        <f>IF(A587&lt;&gt;"", XLOOKUP(A587, Extrato!$D:$D, Extrato!$C:$C, ""), "")</f>
        <v/>
      </c>
      <c r="H587">
        <f>IF(A587="", "", IF(E587="", "Pendente", IF(C587=G587, "OK", "Valor divergente")))</f>
        <v/>
      </c>
    </row>
    <row r="588">
      <c r="A588">
        <f>IF(NF!A586&lt;&gt;"", NF!A586, "")</f>
        <v/>
      </c>
      <c r="B588">
        <f>IF(A588&lt;&gt;"", NF!B586, "")</f>
        <v/>
      </c>
      <c r="C588">
        <f>IF(A588&lt;&gt;"", NF!C586, "")</f>
        <v/>
      </c>
      <c r="D588">
        <f>IF(A588&lt;&gt;"", NF!D586, "")</f>
        <v/>
      </c>
      <c r="E588">
        <f>IF(A588&lt;&gt;"", XLOOKUP(A588, Extrato!$D:$D, Extrato!$A:$A, ""), "")</f>
        <v/>
      </c>
      <c r="F588">
        <f>IF(A588&lt;&gt;"", XLOOKUP(A588, Extrato!$D:$D, Extrato!$B:$B, ""), "")</f>
        <v/>
      </c>
      <c r="G588">
        <f>IF(A588&lt;&gt;"", XLOOKUP(A588, Extrato!$D:$D, Extrato!$C:$C, ""), "")</f>
        <v/>
      </c>
      <c r="H588">
        <f>IF(A588="", "", IF(E588="", "Pendente", IF(C588=G588, "OK", "Valor divergente")))</f>
        <v/>
      </c>
    </row>
    <row r="589">
      <c r="A589">
        <f>IF(NF!A587&lt;&gt;"", NF!A587, "")</f>
        <v/>
      </c>
      <c r="B589">
        <f>IF(A589&lt;&gt;"", NF!B587, "")</f>
        <v/>
      </c>
      <c r="C589">
        <f>IF(A589&lt;&gt;"", NF!C587, "")</f>
        <v/>
      </c>
      <c r="D589">
        <f>IF(A589&lt;&gt;"", NF!D587, "")</f>
        <v/>
      </c>
      <c r="E589">
        <f>IF(A589&lt;&gt;"", XLOOKUP(A589, Extrato!$D:$D, Extrato!$A:$A, ""), "")</f>
        <v/>
      </c>
      <c r="F589">
        <f>IF(A589&lt;&gt;"", XLOOKUP(A589, Extrato!$D:$D, Extrato!$B:$B, ""), "")</f>
        <v/>
      </c>
      <c r="G589">
        <f>IF(A589&lt;&gt;"", XLOOKUP(A589, Extrato!$D:$D, Extrato!$C:$C, ""), "")</f>
        <v/>
      </c>
      <c r="H589">
        <f>IF(A589="", "", IF(E589="", "Pendente", IF(C589=G589, "OK", "Valor divergente")))</f>
        <v/>
      </c>
    </row>
    <row r="590">
      <c r="A590">
        <f>IF(NF!A588&lt;&gt;"", NF!A588, "")</f>
        <v/>
      </c>
      <c r="B590">
        <f>IF(A590&lt;&gt;"", NF!B588, "")</f>
        <v/>
      </c>
      <c r="C590">
        <f>IF(A590&lt;&gt;"", NF!C588, "")</f>
        <v/>
      </c>
      <c r="D590">
        <f>IF(A590&lt;&gt;"", NF!D588, "")</f>
        <v/>
      </c>
      <c r="E590">
        <f>IF(A590&lt;&gt;"", XLOOKUP(A590, Extrato!$D:$D, Extrato!$A:$A, ""), "")</f>
        <v/>
      </c>
      <c r="F590">
        <f>IF(A590&lt;&gt;"", XLOOKUP(A590, Extrato!$D:$D, Extrato!$B:$B, ""), "")</f>
        <v/>
      </c>
      <c r="G590">
        <f>IF(A590&lt;&gt;"", XLOOKUP(A590, Extrato!$D:$D, Extrato!$C:$C, ""), "")</f>
        <v/>
      </c>
      <c r="H590">
        <f>IF(A590="", "", IF(E590="", "Pendente", IF(C590=G590, "OK", "Valor divergente")))</f>
        <v/>
      </c>
    </row>
    <row r="591">
      <c r="A591">
        <f>IF(NF!A589&lt;&gt;"", NF!A589, "")</f>
        <v/>
      </c>
      <c r="B591">
        <f>IF(A591&lt;&gt;"", NF!B589, "")</f>
        <v/>
      </c>
      <c r="C591">
        <f>IF(A591&lt;&gt;"", NF!C589, "")</f>
        <v/>
      </c>
      <c r="D591">
        <f>IF(A591&lt;&gt;"", NF!D589, "")</f>
        <v/>
      </c>
      <c r="E591">
        <f>IF(A591&lt;&gt;"", XLOOKUP(A591, Extrato!$D:$D, Extrato!$A:$A, ""), "")</f>
        <v/>
      </c>
      <c r="F591">
        <f>IF(A591&lt;&gt;"", XLOOKUP(A591, Extrato!$D:$D, Extrato!$B:$B, ""), "")</f>
        <v/>
      </c>
      <c r="G591">
        <f>IF(A591&lt;&gt;"", XLOOKUP(A591, Extrato!$D:$D, Extrato!$C:$C, ""), "")</f>
        <v/>
      </c>
      <c r="H591">
        <f>IF(A591="", "", IF(E591="", "Pendente", IF(C591=G591, "OK", "Valor divergente")))</f>
        <v/>
      </c>
    </row>
    <row r="592">
      <c r="A592">
        <f>IF(NF!A590&lt;&gt;"", NF!A590, "")</f>
        <v/>
      </c>
      <c r="B592">
        <f>IF(A592&lt;&gt;"", NF!B590, "")</f>
        <v/>
      </c>
      <c r="C592">
        <f>IF(A592&lt;&gt;"", NF!C590, "")</f>
        <v/>
      </c>
      <c r="D592">
        <f>IF(A592&lt;&gt;"", NF!D590, "")</f>
        <v/>
      </c>
      <c r="E592">
        <f>IF(A592&lt;&gt;"", XLOOKUP(A592, Extrato!$D:$D, Extrato!$A:$A, ""), "")</f>
        <v/>
      </c>
      <c r="F592">
        <f>IF(A592&lt;&gt;"", XLOOKUP(A592, Extrato!$D:$D, Extrato!$B:$B, ""), "")</f>
        <v/>
      </c>
      <c r="G592">
        <f>IF(A592&lt;&gt;"", XLOOKUP(A592, Extrato!$D:$D, Extrato!$C:$C, ""), "")</f>
        <v/>
      </c>
      <c r="H592">
        <f>IF(A592="", "", IF(E592="", "Pendente", IF(C592=G592, "OK", "Valor divergente")))</f>
        <v/>
      </c>
    </row>
    <row r="593">
      <c r="A593">
        <f>IF(NF!A591&lt;&gt;"", NF!A591, "")</f>
        <v/>
      </c>
      <c r="B593">
        <f>IF(A593&lt;&gt;"", NF!B591, "")</f>
        <v/>
      </c>
      <c r="C593">
        <f>IF(A593&lt;&gt;"", NF!C591, "")</f>
        <v/>
      </c>
      <c r="D593">
        <f>IF(A593&lt;&gt;"", NF!D591, "")</f>
        <v/>
      </c>
      <c r="E593">
        <f>IF(A593&lt;&gt;"", XLOOKUP(A593, Extrato!$D:$D, Extrato!$A:$A, ""), "")</f>
        <v/>
      </c>
      <c r="F593">
        <f>IF(A593&lt;&gt;"", XLOOKUP(A593, Extrato!$D:$D, Extrato!$B:$B, ""), "")</f>
        <v/>
      </c>
      <c r="G593">
        <f>IF(A593&lt;&gt;"", XLOOKUP(A593, Extrato!$D:$D, Extrato!$C:$C, ""), "")</f>
        <v/>
      </c>
      <c r="H593">
        <f>IF(A593="", "", IF(E593="", "Pendente", IF(C593=G593, "OK", "Valor divergente")))</f>
        <v/>
      </c>
    </row>
    <row r="594">
      <c r="A594">
        <f>IF(NF!A592&lt;&gt;"", NF!A592, "")</f>
        <v/>
      </c>
      <c r="B594">
        <f>IF(A594&lt;&gt;"", NF!B592, "")</f>
        <v/>
      </c>
      <c r="C594">
        <f>IF(A594&lt;&gt;"", NF!C592, "")</f>
        <v/>
      </c>
      <c r="D594">
        <f>IF(A594&lt;&gt;"", NF!D592, "")</f>
        <v/>
      </c>
      <c r="E594">
        <f>IF(A594&lt;&gt;"", XLOOKUP(A594, Extrato!$D:$D, Extrato!$A:$A, ""), "")</f>
        <v/>
      </c>
      <c r="F594">
        <f>IF(A594&lt;&gt;"", XLOOKUP(A594, Extrato!$D:$D, Extrato!$B:$B, ""), "")</f>
        <v/>
      </c>
      <c r="G594">
        <f>IF(A594&lt;&gt;"", XLOOKUP(A594, Extrato!$D:$D, Extrato!$C:$C, ""), "")</f>
        <v/>
      </c>
      <c r="H594">
        <f>IF(A594="", "", IF(E594="", "Pendente", IF(C594=G594, "OK", "Valor divergente")))</f>
        <v/>
      </c>
    </row>
    <row r="595">
      <c r="A595">
        <f>IF(NF!A593&lt;&gt;"", NF!A593, "")</f>
        <v/>
      </c>
      <c r="B595">
        <f>IF(A595&lt;&gt;"", NF!B593, "")</f>
        <v/>
      </c>
      <c r="C595">
        <f>IF(A595&lt;&gt;"", NF!C593, "")</f>
        <v/>
      </c>
      <c r="D595">
        <f>IF(A595&lt;&gt;"", NF!D593, "")</f>
        <v/>
      </c>
      <c r="E595">
        <f>IF(A595&lt;&gt;"", XLOOKUP(A595, Extrato!$D:$D, Extrato!$A:$A, ""), "")</f>
        <v/>
      </c>
      <c r="F595">
        <f>IF(A595&lt;&gt;"", XLOOKUP(A595, Extrato!$D:$D, Extrato!$B:$B, ""), "")</f>
        <v/>
      </c>
      <c r="G595">
        <f>IF(A595&lt;&gt;"", XLOOKUP(A595, Extrato!$D:$D, Extrato!$C:$C, ""), "")</f>
        <v/>
      </c>
      <c r="H595">
        <f>IF(A595="", "", IF(E595="", "Pendente", IF(C595=G595, "OK", "Valor divergente")))</f>
        <v/>
      </c>
    </row>
    <row r="596">
      <c r="A596">
        <f>IF(NF!A594&lt;&gt;"", NF!A594, "")</f>
        <v/>
      </c>
      <c r="B596">
        <f>IF(A596&lt;&gt;"", NF!B594, "")</f>
        <v/>
      </c>
      <c r="C596">
        <f>IF(A596&lt;&gt;"", NF!C594, "")</f>
        <v/>
      </c>
      <c r="D596">
        <f>IF(A596&lt;&gt;"", NF!D594, "")</f>
        <v/>
      </c>
      <c r="E596">
        <f>IF(A596&lt;&gt;"", XLOOKUP(A596, Extrato!$D:$D, Extrato!$A:$A, ""), "")</f>
        <v/>
      </c>
      <c r="F596">
        <f>IF(A596&lt;&gt;"", XLOOKUP(A596, Extrato!$D:$D, Extrato!$B:$B, ""), "")</f>
        <v/>
      </c>
      <c r="G596">
        <f>IF(A596&lt;&gt;"", XLOOKUP(A596, Extrato!$D:$D, Extrato!$C:$C, ""), "")</f>
        <v/>
      </c>
      <c r="H596">
        <f>IF(A596="", "", IF(E596="", "Pendente", IF(C596=G596, "OK", "Valor divergente")))</f>
        <v/>
      </c>
    </row>
    <row r="597">
      <c r="A597">
        <f>IF(NF!A595&lt;&gt;"", NF!A595, "")</f>
        <v/>
      </c>
      <c r="B597">
        <f>IF(A597&lt;&gt;"", NF!B595, "")</f>
        <v/>
      </c>
      <c r="C597">
        <f>IF(A597&lt;&gt;"", NF!C595, "")</f>
        <v/>
      </c>
      <c r="D597">
        <f>IF(A597&lt;&gt;"", NF!D595, "")</f>
        <v/>
      </c>
      <c r="E597">
        <f>IF(A597&lt;&gt;"", XLOOKUP(A597, Extrato!$D:$D, Extrato!$A:$A, ""), "")</f>
        <v/>
      </c>
      <c r="F597">
        <f>IF(A597&lt;&gt;"", XLOOKUP(A597, Extrato!$D:$D, Extrato!$B:$B, ""), "")</f>
        <v/>
      </c>
      <c r="G597">
        <f>IF(A597&lt;&gt;"", XLOOKUP(A597, Extrato!$D:$D, Extrato!$C:$C, ""), "")</f>
        <v/>
      </c>
      <c r="H597">
        <f>IF(A597="", "", IF(E597="", "Pendente", IF(C597=G597, "OK", "Valor divergente")))</f>
        <v/>
      </c>
    </row>
    <row r="598">
      <c r="A598">
        <f>IF(NF!A596&lt;&gt;"", NF!A596, "")</f>
        <v/>
      </c>
      <c r="B598">
        <f>IF(A598&lt;&gt;"", NF!B596, "")</f>
        <v/>
      </c>
      <c r="C598">
        <f>IF(A598&lt;&gt;"", NF!C596, "")</f>
        <v/>
      </c>
      <c r="D598">
        <f>IF(A598&lt;&gt;"", NF!D596, "")</f>
        <v/>
      </c>
      <c r="E598">
        <f>IF(A598&lt;&gt;"", XLOOKUP(A598, Extrato!$D:$D, Extrato!$A:$A, ""), "")</f>
        <v/>
      </c>
      <c r="F598">
        <f>IF(A598&lt;&gt;"", XLOOKUP(A598, Extrato!$D:$D, Extrato!$B:$B, ""), "")</f>
        <v/>
      </c>
      <c r="G598">
        <f>IF(A598&lt;&gt;"", XLOOKUP(A598, Extrato!$D:$D, Extrato!$C:$C, ""), "")</f>
        <v/>
      </c>
      <c r="H598">
        <f>IF(A598="", "", IF(E598="", "Pendente", IF(C598=G598, "OK", "Valor divergente")))</f>
        <v/>
      </c>
    </row>
    <row r="599">
      <c r="A599">
        <f>IF(NF!A597&lt;&gt;"", NF!A597, "")</f>
        <v/>
      </c>
      <c r="B599">
        <f>IF(A599&lt;&gt;"", NF!B597, "")</f>
        <v/>
      </c>
      <c r="C599">
        <f>IF(A599&lt;&gt;"", NF!C597, "")</f>
        <v/>
      </c>
      <c r="D599">
        <f>IF(A599&lt;&gt;"", NF!D597, "")</f>
        <v/>
      </c>
      <c r="E599">
        <f>IF(A599&lt;&gt;"", XLOOKUP(A599, Extrato!$D:$D, Extrato!$A:$A, ""), "")</f>
        <v/>
      </c>
      <c r="F599">
        <f>IF(A599&lt;&gt;"", XLOOKUP(A599, Extrato!$D:$D, Extrato!$B:$B, ""), "")</f>
        <v/>
      </c>
      <c r="G599">
        <f>IF(A599&lt;&gt;"", XLOOKUP(A599, Extrato!$D:$D, Extrato!$C:$C, ""), "")</f>
        <v/>
      </c>
      <c r="H599">
        <f>IF(A599="", "", IF(E599="", "Pendente", IF(C599=G599, "OK", "Valor divergente")))</f>
        <v/>
      </c>
    </row>
    <row r="600">
      <c r="A600">
        <f>IF(NF!A598&lt;&gt;"", NF!A598, "")</f>
        <v/>
      </c>
      <c r="B600">
        <f>IF(A600&lt;&gt;"", NF!B598, "")</f>
        <v/>
      </c>
      <c r="C600">
        <f>IF(A600&lt;&gt;"", NF!C598, "")</f>
        <v/>
      </c>
      <c r="D600">
        <f>IF(A600&lt;&gt;"", NF!D598, "")</f>
        <v/>
      </c>
      <c r="E600">
        <f>IF(A600&lt;&gt;"", XLOOKUP(A600, Extrato!$D:$D, Extrato!$A:$A, ""), "")</f>
        <v/>
      </c>
      <c r="F600">
        <f>IF(A600&lt;&gt;"", XLOOKUP(A600, Extrato!$D:$D, Extrato!$B:$B, ""), "")</f>
        <v/>
      </c>
      <c r="G600">
        <f>IF(A600&lt;&gt;"", XLOOKUP(A600, Extrato!$D:$D, Extrato!$C:$C, ""), "")</f>
        <v/>
      </c>
      <c r="H600">
        <f>IF(A600="", "", IF(E600="", "Pendente", IF(C600=G600, "OK", "Valor divergente")))</f>
        <v/>
      </c>
    </row>
    <row r="601">
      <c r="A601">
        <f>IF(NF!A599&lt;&gt;"", NF!A599, "")</f>
        <v/>
      </c>
      <c r="B601">
        <f>IF(A601&lt;&gt;"", NF!B599, "")</f>
        <v/>
      </c>
      <c r="C601">
        <f>IF(A601&lt;&gt;"", NF!C599, "")</f>
        <v/>
      </c>
      <c r="D601">
        <f>IF(A601&lt;&gt;"", NF!D599, "")</f>
        <v/>
      </c>
      <c r="E601">
        <f>IF(A601&lt;&gt;"", XLOOKUP(A601, Extrato!$D:$D, Extrato!$A:$A, ""), "")</f>
        <v/>
      </c>
      <c r="F601">
        <f>IF(A601&lt;&gt;"", XLOOKUP(A601, Extrato!$D:$D, Extrato!$B:$B, ""), "")</f>
        <v/>
      </c>
      <c r="G601">
        <f>IF(A601&lt;&gt;"", XLOOKUP(A601, Extrato!$D:$D, Extrato!$C:$C, ""), "")</f>
        <v/>
      </c>
      <c r="H601">
        <f>IF(A601="", "", IF(E601="", "Pendente", IF(C601=G601, "OK", "Valor divergente")))</f>
        <v/>
      </c>
    </row>
    <row r="602">
      <c r="A602">
        <f>IF(NF!A600&lt;&gt;"", NF!A600, "")</f>
        <v/>
      </c>
      <c r="B602">
        <f>IF(A602&lt;&gt;"", NF!B600, "")</f>
        <v/>
      </c>
      <c r="C602">
        <f>IF(A602&lt;&gt;"", NF!C600, "")</f>
        <v/>
      </c>
      <c r="D602">
        <f>IF(A602&lt;&gt;"", NF!D600, "")</f>
        <v/>
      </c>
      <c r="E602">
        <f>IF(A602&lt;&gt;"", XLOOKUP(A602, Extrato!$D:$D, Extrato!$A:$A, ""), "")</f>
        <v/>
      </c>
      <c r="F602">
        <f>IF(A602&lt;&gt;"", XLOOKUP(A602, Extrato!$D:$D, Extrato!$B:$B, ""), "")</f>
        <v/>
      </c>
      <c r="G602">
        <f>IF(A602&lt;&gt;"", XLOOKUP(A602, Extrato!$D:$D, Extrato!$C:$C, ""), "")</f>
        <v/>
      </c>
      <c r="H602">
        <f>IF(A602="", "", IF(E602="", "Pendente", IF(C602=G602, "OK", "Valor divergente")))</f>
        <v/>
      </c>
    </row>
    <row r="603">
      <c r="A603">
        <f>IF(NF!A601&lt;&gt;"", NF!A601, "")</f>
        <v/>
      </c>
      <c r="B603">
        <f>IF(A603&lt;&gt;"", NF!B601, "")</f>
        <v/>
      </c>
      <c r="C603">
        <f>IF(A603&lt;&gt;"", NF!C601, "")</f>
        <v/>
      </c>
      <c r="D603">
        <f>IF(A603&lt;&gt;"", NF!D601, "")</f>
        <v/>
      </c>
      <c r="E603">
        <f>IF(A603&lt;&gt;"", XLOOKUP(A603, Extrato!$D:$D, Extrato!$A:$A, ""), "")</f>
        <v/>
      </c>
      <c r="F603">
        <f>IF(A603&lt;&gt;"", XLOOKUP(A603, Extrato!$D:$D, Extrato!$B:$B, ""), "")</f>
        <v/>
      </c>
      <c r="G603">
        <f>IF(A603&lt;&gt;"", XLOOKUP(A603, Extrato!$D:$D, Extrato!$C:$C, ""), "")</f>
        <v/>
      </c>
      <c r="H603">
        <f>IF(A603="", "", IF(E603="", "Pendente", IF(C603=G603, "OK", "Valor divergente")))</f>
        <v/>
      </c>
    </row>
    <row r="604">
      <c r="A604">
        <f>IF(NF!A602&lt;&gt;"", NF!A602, "")</f>
        <v/>
      </c>
      <c r="B604">
        <f>IF(A604&lt;&gt;"", NF!B602, "")</f>
        <v/>
      </c>
      <c r="C604">
        <f>IF(A604&lt;&gt;"", NF!C602, "")</f>
        <v/>
      </c>
      <c r="D604">
        <f>IF(A604&lt;&gt;"", NF!D602, "")</f>
        <v/>
      </c>
      <c r="E604">
        <f>IF(A604&lt;&gt;"", XLOOKUP(A604, Extrato!$D:$D, Extrato!$A:$A, ""), "")</f>
        <v/>
      </c>
      <c r="F604">
        <f>IF(A604&lt;&gt;"", XLOOKUP(A604, Extrato!$D:$D, Extrato!$B:$B, ""), "")</f>
        <v/>
      </c>
      <c r="G604">
        <f>IF(A604&lt;&gt;"", XLOOKUP(A604, Extrato!$D:$D, Extrato!$C:$C, ""), "")</f>
        <v/>
      </c>
      <c r="H604">
        <f>IF(A604="", "", IF(E604="", "Pendente", IF(C604=G604, "OK", "Valor divergente")))</f>
        <v/>
      </c>
    </row>
    <row r="605">
      <c r="A605">
        <f>IF(NF!A603&lt;&gt;"", NF!A603, "")</f>
        <v/>
      </c>
      <c r="B605">
        <f>IF(A605&lt;&gt;"", NF!B603, "")</f>
        <v/>
      </c>
      <c r="C605">
        <f>IF(A605&lt;&gt;"", NF!C603, "")</f>
        <v/>
      </c>
      <c r="D605">
        <f>IF(A605&lt;&gt;"", NF!D603, "")</f>
        <v/>
      </c>
      <c r="E605">
        <f>IF(A605&lt;&gt;"", XLOOKUP(A605, Extrato!$D:$D, Extrato!$A:$A, ""), "")</f>
        <v/>
      </c>
      <c r="F605">
        <f>IF(A605&lt;&gt;"", XLOOKUP(A605, Extrato!$D:$D, Extrato!$B:$B, ""), "")</f>
        <v/>
      </c>
      <c r="G605">
        <f>IF(A605&lt;&gt;"", XLOOKUP(A605, Extrato!$D:$D, Extrato!$C:$C, ""), "")</f>
        <v/>
      </c>
      <c r="H605">
        <f>IF(A605="", "", IF(E605="", "Pendente", IF(C605=G605, "OK", "Valor divergente")))</f>
        <v/>
      </c>
    </row>
    <row r="606">
      <c r="A606">
        <f>IF(NF!A604&lt;&gt;"", NF!A604, "")</f>
        <v/>
      </c>
      <c r="B606">
        <f>IF(A606&lt;&gt;"", NF!B604, "")</f>
        <v/>
      </c>
      <c r="C606">
        <f>IF(A606&lt;&gt;"", NF!C604, "")</f>
        <v/>
      </c>
      <c r="D606">
        <f>IF(A606&lt;&gt;"", NF!D604, "")</f>
        <v/>
      </c>
      <c r="E606">
        <f>IF(A606&lt;&gt;"", XLOOKUP(A606, Extrato!$D:$D, Extrato!$A:$A, ""), "")</f>
        <v/>
      </c>
      <c r="F606">
        <f>IF(A606&lt;&gt;"", XLOOKUP(A606, Extrato!$D:$D, Extrato!$B:$B, ""), "")</f>
        <v/>
      </c>
      <c r="G606">
        <f>IF(A606&lt;&gt;"", XLOOKUP(A606, Extrato!$D:$D, Extrato!$C:$C, ""), "")</f>
        <v/>
      </c>
      <c r="H606">
        <f>IF(A606="", "", IF(E606="", "Pendente", IF(C606=G606, "OK", "Valor divergente")))</f>
        <v/>
      </c>
    </row>
    <row r="607">
      <c r="A607">
        <f>IF(NF!A605&lt;&gt;"", NF!A605, "")</f>
        <v/>
      </c>
      <c r="B607">
        <f>IF(A607&lt;&gt;"", NF!B605, "")</f>
        <v/>
      </c>
      <c r="C607">
        <f>IF(A607&lt;&gt;"", NF!C605, "")</f>
        <v/>
      </c>
      <c r="D607">
        <f>IF(A607&lt;&gt;"", NF!D605, "")</f>
        <v/>
      </c>
      <c r="E607">
        <f>IF(A607&lt;&gt;"", XLOOKUP(A607, Extrato!$D:$D, Extrato!$A:$A, ""), "")</f>
        <v/>
      </c>
      <c r="F607">
        <f>IF(A607&lt;&gt;"", XLOOKUP(A607, Extrato!$D:$D, Extrato!$B:$B, ""), "")</f>
        <v/>
      </c>
      <c r="G607">
        <f>IF(A607&lt;&gt;"", XLOOKUP(A607, Extrato!$D:$D, Extrato!$C:$C, ""), "")</f>
        <v/>
      </c>
      <c r="H607">
        <f>IF(A607="", "", IF(E607="", "Pendente", IF(C607=G607, "OK", "Valor divergente")))</f>
        <v/>
      </c>
    </row>
    <row r="608">
      <c r="A608">
        <f>IF(NF!A606&lt;&gt;"", NF!A606, "")</f>
        <v/>
      </c>
      <c r="B608">
        <f>IF(A608&lt;&gt;"", NF!B606, "")</f>
        <v/>
      </c>
      <c r="C608">
        <f>IF(A608&lt;&gt;"", NF!C606, "")</f>
        <v/>
      </c>
      <c r="D608">
        <f>IF(A608&lt;&gt;"", NF!D606, "")</f>
        <v/>
      </c>
      <c r="E608">
        <f>IF(A608&lt;&gt;"", XLOOKUP(A608, Extrato!$D:$D, Extrato!$A:$A, ""), "")</f>
        <v/>
      </c>
      <c r="F608">
        <f>IF(A608&lt;&gt;"", XLOOKUP(A608, Extrato!$D:$D, Extrato!$B:$B, ""), "")</f>
        <v/>
      </c>
      <c r="G608">
        <f>IF(A608&lt;&gt;"", XLOOKUP(A608, Extrato!$D:$D, Extrato!$C:$C, ""), "")</f>
        <v/>
      </c>
      <c r="H608">
        <f>IF(A608="", "", IF(E608="", "Pendente", IF(C608=G608, "OK", "Valor divergente")))</f>
        <v/>
      </c>
    </row>
    <row r="609">
      <c r="A609">
        <f>IF(NF!A607&lt;&gt;"", NF!A607, "")</f>
        <v/>
      </c>
      <c r="B609">
        <f>IF(A609&lt;&gt;"", NF!B607, "")</f>
        <v/>
      </c>
      <c r="C609">
        <f>IF(A609&lt;&gt;"", NF!C607, "")</f>
        <v/>
      </c>
      <c r="D609">
        <f>IF(A609&lt;&gt;"", NF!D607, "")</f>
        <v/>
      </c>
      <c r="E609">
        <f>IF(A609&lt;&gt;"", XLOOKUP(A609, Extrato!$D:$D, Extrato!$A:$A, ""), "")</f>
        <v/>
      </c>
      <c r="F609">
        <f>IF(A609&lt;&gt;"", XLOOKUP(A609, Extrato!$D:$D, Extrato!$B:$B, ""), "")</f>
        <v/>
      </c>
      <c r="G609">
        <f>IF(A609&lt;&gt;"", XLOOKUP(A609, Extrato!$D:$D, Extrato!$C:$C, ""), "")</f>
        <v/>
      </c>
      <c r="H609">
        <f>IF(A609="", "", IF(E609="", "Pendente", IF(C609=G609, "OK", "Valor divergente")))</f>
        <v/>
      </c>
    </row>
    <row r="610">
      <c r="A610">
        <f>IF(NF!A608&lt;&gt;"", NF!A608, "")</f>
        <v/>
      </c>
      <c r="B610">
        <f>IF(A610&lt;&gt;"", NF!B608, "")</f>
        <v/>
      </c>
      <c r="C610">
        <f>IF(A610&lt;&gt;"", NF!C608, "")</f>
        <v/>
      </c>
      <c r="D610">
        <f>IF(A610&lt;&gt;"", NF!D608, "")</f>
        <v/>
      </c>
      <c r="E610">
        <f>IF(A610&lt;&gt;"", XLOOKUP(A610, Extrato!$D:$D, Extrato!$A:$A, ""), "")</f>
        <v/>
      </c>
      <c r="F610">
        <f>IF(A610&lt;&gt;"", XLOOKUP(A610, Extrato!$D:$D, Extrato!$B:$B, ""), "")</f>
        <v/>
      </c>
      <c r="G610">
        <f>IF(A610&lt;&gt;"", XLOOKUP(A610, Extrato!$D:$D, Extrato!$C:$C, ""), "")</f>
        <v/>
      </c>
      <c r="H610">
        <f>IF(A610="", "", IF(E610="", "Pendente", IF(C610=G610, "OK", "Valor divergente")))</f>
        <v/>
      </c>
    </row>
    <row r="611">
      <c r="A611">
        <f>IF(NF!A609&lt;&gt;"", NF!A609, "")</f>
        <v/>
      </c>
      <c r="B611">
        <f>IF(A611&lt;&gt;"", NF!B609, "")</f>
        <v/>
      </c>
      <c r="C611">
        <f>IF(A611&lt;&gt;"", NF!C609, "")</f>
        <v/>
      </c>
      <c r="D611">
        <f>IF(A611&lt;&gt;"", NF!D609, "")</f>
        <v/>
      </c>
      <c r="E611">
        <f>IF(A611&lt;&gt;"", XLOOKUP(A611, Extrato!$D:$D, Extrato!$A:$A, ""), "")</f>
        <v/>
      </c>
      <c r="F611">
        <f>IF(A611&lt;&gt;"", XLOOKUP(A611, Extrato!$D:$D, Extrato!$B:$B, ""), "")</f>
        <v/>
      </c>
      <c r="G611">
        <f>IF(A611&lt;&gt;"", XLOOKUP(A611, Extrato!$D:$D, Extrato!$C:$C, ""), "")</f>
        <v/>
      </c>
      <c r="H611">
        <f>IF(A611="", "", IF(E611="", "Pendente", IF(C611=G611, "OK", "Valor divergente")))</f>
        <v/>
      </c>
    </row>
    <row r="612">
      <c r="A612">
        <f>IF(NF!A610&lt;&gt;"", NF!A610, "")</f>
        <v/>
      </c>
      <c r="B612">
        <f>IF(A612&lt;&gt;"", NF!B610, "")</f>
        <v/>
      </c>
      <c r="C612">
        <f>IF(A612&lt;&gt;"", NF!C610, "")</f>
        <v/>
      </c>
      <c r="D612">
        <f>IF(A612&lt;&gt;"", NF!D610, "")</f>
        <v/>
      </c>
      <c r="E612">
        <f>IF(A612&lt;&gt;"", XLOOKUP(A612, Extrato!$D:$D, Extrato!$A:$A, ""), "")</f>
        <v/>
      </c>
      <c r="F612">
        <f>IF(A612&lt;&gt;"", XLOOKUP(A612, Extrato!$D:$D, Extrato!$B:$B, ""), "")</f>
        <v/>
      </c>
      <c r="G612">
        <f>IF(A612&lt;&gt;"", XLOOKUP(A612, Extrato!$D:$D, Extrato!$C:$C, ""), "")</f>
        <v/>
      </c>
      <c r="H612">
        <f>IF(A612="", "", IF(E612="", "Pendente", IF(C612=G612, "OK", "Valor divergente")))</f>
        <v/>
      </c>
    </row>
    <row r="613">
      <c r="A613">
        <f>IF(NF!A611&lt;&gt;"", NF!A611, "")</f>
        <v/>
      </c>
      <c r="B613">
        <f>IF(A613&lt;&gt;"", NF!B611, "")</f>
        <v/>
      </c>
      <c r="C613">
        <f>IF(A613&lt;&gt;"", NF!C611, "")</f>
        <v/>
      </c>
      <c r="D613">
        <f>IF(A613&lt;&gt;"", NF!D611, "")</f>
        <v/>
      </c>
      <c r="E613">
        <f>IF(A613&lt;&gt;"", XLOOKUP(A613, Extrato!$D:$D, Extrato!$A:$A, ""), "")</f>
        <v/>
      </c>
      <c r="F613">
        <f>IF(A613&lt;&gt;"", XLOOKUP(A613, Extrato!$D:$D, Extrato!$B:$B, ""), "")</f>
        <v/>
      </c>
      <c r="G613">
        <f>IF(A613&lt;&gt;"", XLOOKUP(A613, Extrato!$D:$D, Extrato!$C:$C, ""), "")</f>
        <v/>
      </c>
      <c r="H613">
        <f>IF(A613="", "", IF(E613="", "Pendente", IF(C613=G613, "OK", "Valor divergente")))</f>
        <v/>
      </c>
    </row>
    <row r="614">
      <c r="A614">
        <f>IF(NF!A612&lt;&gt;"", NF!A612, "")</f>
        <v/>
      </c>
      <c r="B614">
        <f>IF(A614&lt;&gt;"", NF!B612, "")</f>
        <v/>
      </c>
      <c r="C614">
        <f>IF(A614&lt;&gt;"", NF!C612, "")</f>
        <v/>
      </c>
      <c r="D614">
        <f>IF(A614&lt;&gt;"", NF!D612, "")</f>
        <v/>
      </c>
      <c r="E614">
        <f>IF(A614&lt;&gt;"", XLOOKUP(A614, Extrato!$D:$D, Extrato!$A:$A, ""), "")</f>
        <v/>
      </c>
      <c r="F614">
        <f>IF(A614&lt;&gt;"", XLOOKUP(A614, Extrato!$D:$D, Extrato!$B:$B, ""), "")</f>
        <v/>
      </c>
      <c r="G614">
        <f>IF(A614&lt;&gt;"", XLOOKUP(A614, Extrato!$D:$D, Extrato!$C:$C, ""), "")</f>
        <v/>
      </c>
      <c r="H614">
        <f>IF(A614="", "", IF(E614="", "Pendente", IF(C614=G614, "OK", "Valor divergente")))</f>
        <v/>
      </c>
    </row>
    <row r="615">
      <c r="A615">
        <f>IF(NF!A613&lt;&gt;"", NF!A613, "")</f>
        <v/>
      </c>
      <c r="B615">
        <f>IF(A615&lt;&gt;"", NF!B613, "")</f>
        <v/>
      </c>
      <c r="C615">
        <f>IF(A615&lt;&gt;"", NF!C613, "")</f>
        <v/>
      </c>
      <c r="D615">
        <f>IF(A615&lt;&gt;"", NF!D613, "")</f>
        <v/>
      </c>
      <c r="E615">
        <f>IF(A615&lt;&gt;"", XLOOKUP(A615, Extrato!$D:$D, Extrato!$A:$A, ""), "")</f>
        <v/>
      </c>
      <c r="F615">
        <f>IF(A615&lt;&gt;"", XLOOKUP(A615, Extrato!$D:$D, Extrato!$B:$B, ""), "")</f>
        <v/>
      </c>
      <c r="G615">
        <f>IF(A615&lt;&gt;"", XLOOKUP(A615, Extrato!$D:$D, Extrato!$C:$C, ""), "")</f>
        <v/>
      </c>
      <c r="H615">
        <f>IF(A615="", "", IF(E615="", "Pendente", IF(C615=G615, "OK", "Valor divergente")))</f>
        <v/>
      </c>
    </row>
    <row r="616">
      <c r="A616">
        <f>IF(NF!A614&lt;&gt;"", NF!A614, "")</f>
        <v/>
      </c>
      <c r="B616">
        <f>IF(A616&lt;&gt;"", NF!B614, "")</f>
        <v/>
      </c>
      <c r="C616">
        <f>IF(A616&lt;&gt;"", NF!C614, "")</f>
        <v/>
      </c>
      <c r="D616">
        <f>IF(A616&lt;&gt;"", NF!D614, "")</f>
        <v/>
      </c>
      <c r="E616">
        <f>IF(A616&lt;&gt;"", XLOOKUP(A616, Extrato!$D:$D, Extrato!$A:$A, ""), "")</f>
        <v/>
      </c>
      <c r="F616">
        <f>IF(A616&lt;&gt;"", XLOOKUP(A616, Extrato!$D:$D, Extrato!$B:$B, ""), "")</f>
        <v/>
      </c>
      <c r="G616">
        <f>IF(A616&lt;&gt;"", XLOOKUP(A616, Extrato!$D:$D, Extrato!$C:$C, ""), "")</f>
        <v/>
      </c>
      <c r="H616">
        <f>IF(A616="", "", IF(E616="", "Pendente", IF(C616=G616, "OK", "Valor divergente")))</f>
        <v/>
      </c>
    </row>
    <row r="617">
      <c r="A617">
        <f>IF(NF!A615&lt;&gt;"", NF!A615, "")</f>
        <v/>
      </c>
      <c r="B617">
        <f>IF(A617&lt;&gt;"", NF!B615, "")</f>
        <v/>
      </c>
      <c r="C617">
        <f>IF(A617&lt;&gt;"", NF!C615, "")</f>
        <v/>
      </c>
      <c r="D617">
        <f>IF(A617&lt;&gt;"", NF!D615, "")</f>
        <v/>
      </c>
      <c r="E617">
        <f>IF(A617&lt;&gt;"", XLOOKUP(A617, Extrato!$D:$D, Extrato!$A:$A, ""), "")</f>
        <v/>
      </c>
      <c r="F617">
        <f>IF(A617&lt;&gt;"", XLOOKUP(A617, Extrato!$D:$D, Extrato!$B:$B, ""), "")</f>
        <v/>
      </c>
      <c r="G617">
        <f>IF(A617&lt;&gt;"", XLOOKUP(A617, Extrato!$D:$D, Extrato!$C:$C, ""), "")</f>
        <v/>
      </c>
      <c r="H617">
        <f>IF(A617="", "", IF(E617="", "Pendente", IF(C617=G617, "OK", "Valor divergente")))</f>
        <v/>
      </c>
    </row>
    <row r="618">
      <c r="A618">
        <f>IF(NF!A616&lt;&gt;"", NF!A616, "")</f>
        <v/>
      </c>
      <c r="B618">
        <f>IF(A618&lt;&gt;"", NF!B616, "")</f>
        <v/>
      </c>
      <c r="C618">
        <f>IF(A618&lt;&gt;"", NF!C616, "")</f>
        <v/>
      </c>
      <c r="D618">
        <f>IF(A618&lt;&gt;"", NF!D616, "")</f>
        <v/>
      </c>
      <c r="E618">
        <f>IF(A618&lt;&gt;"", XLOOKUP(A618, Extrato!$D:$D, Extrato!$A:$A, ""), "")</f>
        <v/>
      </c>
      <c r="F618">
        <f>IF(A618&lt;&gt;"", XLOOKUP(A618, Extrato!$D:$D, Extrato!$B:$B, ""), "")</f>
        <v/>
      </c>
      <c r="G618">
        <f>IF(A618&lt;&gt;"", XLOOKUP(A618, Extrato!$D:$D, Extrato!$C:$C, ""), "")</f>
        <v/>
      </c>
      <c r="H618">
        <f>IF(A618="", "", IF(E618="", "Pendente", IF(C618=G618, "OK", "Valor divergente")))</f>
        <v/>
      </c>
    </row>
    <row r="619">
      <c r="A619">
        <f>IF(NF!A617&lt;&gt;"", NF!A617, "")</f>
        <v/>
      </c>
      <c r="B619">
        <f>IF(A619&lt;&gt;"", NF!B617, "")</f>
        <v/>
      </c>
      <c r="C619">
        <f>IF(A619&lt;&gt;"", NF!C617, "")</f>
        <v/>
      </c>
      <c r="D619">
        <f>IF(A619&lt;&gt;"", NF!D617, "")</f>
        <v/>
      </c>
      <c r="E619">
        <f>IF(A619&lt;&gt;"", XLOOKUP(A619, Extrato!$D:$D, Extrato!$A:$A, ""), "")</f>
        <v/>
      </c>
      <c r="F619">
        <f>IF(A619&lt;&gt;"", XLOOKUP(A619, Extrato!$D:$D, Extrato!$B:$B, ""), "")</f>
        <v/>
      </c>
      <c r="G619">
        <f>IF(A619&lt;&gt;"", XLOOKUP(A619, Extrato!$D:$D, Extrato!$C:$C, ""), "")</f>
        <v/>
      </c>
      <c r="H619">
        <f>IF(A619="", "", IF(E619="", "Pendente", IF(C619=G619, "OK", "Valor divergente")))</f>
        <v/>
      </c>
    </row>
    <row r="620">
      <c r="A620">
        <f>IF(NF!A618&lt;&gt;"", NF!A618, "")</f>
        <v/>
      </c>
      <c r="B620">
        <f>IF(A620&lt;&gt;"", NF!B618, "")</f>
        <v/>
      </c>
      <c r="C620">
        <f>IF(A620&lt;&gt;"", NF!C618, "")</f>
        <v/>
      </c>
      <c r="D620">
        <f>IF(A620&lt;&gt;"", NF!D618, "")</f>
        <v/>
      </c>
      <c r="E620">
        <f>IF(A620&lt;&gt;"", XLOOKUP(A620, Extrato!$D:$D, Extrato!$A:$A, ""), "")</f>
        <v/>
      </c>
      <c r="F620">
        <f>IF(A620&lt;&gt;"", XLOOKUP(A620, Extrato!$D:$D, Extrato!$B:$B, ""), "")</f>
        <v/>
      </c>
      <c r="G620">
        <f>IF(A620&lt;&gt;"", XLOOKUP(A620, Extrato!$D:$D, Extrato!$C:$C, ""), "")</f>
        <v/>
      </c>
      <c r="H620">
        <f>IF(A620="", "", IF(E620="", "Pendente", IF(C620=G620, "OK", "Valor divergente")))</f>
        <v/>
      </c>
    </row>
    <row r="621">
      <c r="A621">
        <f>IF(NF!A619&lt;&gt;"", NF!A619, "")</f>
        <v/>
      </c>
      <c r="B621">
        <f>IF(A621&lt;&gt;"", NF!B619, "")</f>
        <v/>
      </c>
      <c r="C621">
        <f>IF(A621&lt;&gt;"", NF!C619, "")</f>
        <v/>
      </c>
      <c r="D621">
        <f>IF(A621&lt;&gt;"", NF!D619, "")</f>
        <v/>
      </c>
      <c r="E621">
        <f>IF(A621&lt;&gt;"", XLOOKUP(A621, Extrato!$D:$D, Extrato!$A:$A, ""), "")</f>
        <v/>
      </c>
      <c r="F621">
        <f>IF(A621&lt;&gt;"", XLOOKUP(A621, Extrato!$D:$D, Extrato!$B:$B, ""), "")</f>
        <v/>
      </c>
      <c r="G621">
        <f>IF(A621&lt;&gt;"", XLOOKUP(A621, Extrato!$D:$D, Extrato!$C:$C, ""), "")</f>
        <v/>
      </c>
      <c r="H621">
        <f>IF(A621="", "", IF(E621="", "Pendente", IF(C621=G621, "OK", "Valor divergente")))</f>
        <v/>
      </c>
    </row>
    <row r="622">
      <c r="A622">
        <f>IF(NF!A620&lt;&gt;"", NF!A620, "")</f>
        <v/>
      </c>
      <c r="B622">
        <f>IF(A622&lt;&gt;"", NF!B620, "")</f>
        <v/>
      </c>
      <c r="C622">
        <f>IF(A622&lt;&gt;"", NF!C620, "")</f>
        <v/>
      </c>
      <c r="D622">
        <f>IF(A622&lt;&gt;"", NF!D620, "")</f>
        <v/>
      </c>
      <c r="E622">
        <f>IF(A622&lt;&gt;"", XLOOKUP(A622, Extrato!$D:$D, Extrato!$A:$A, ""), "")</f>
        <v/>
      </c>
      <c r="F622">
        <f>IF(A622&lt;&gt;"", XLOOKUP(A622, Extrato!$D:$D, Extrato!$B:$B, ""), "")</f>
        <v/>
      </c>
      <c r="G622">
        <f>IF(A622&lt;&gt;"", XLOOKUP(A622, Extrato!$D:$D, Extrato!$C:$C, ""), "")</f>
        <v/>
      </c>
      <c r="H622">
        <f>IF(A622="", "", IF(E622="", "Pendente", IF(C622=G622, "OK", "Valor divergente")))</f>
        <v/>
      </c>
    </row>
    <row r="623">
      <c r="A623">
        <f>IF(NF!A621&lt;&gt;"", NF!A621, "")</f>
        <v/>
      </c>
      <c r="B623">
        <f>IF(A623&lt;&gt;"", NF!B621, "")</f>
        <v/>
      </c>
      <c r="C623">
        <f>IF(A623&lt;&gt;"", NF!C621, "")</f>
        <v/>
      </c>
      <c r="D623">
        <f>IF(A623&lt;&gt;"", NF!D621, "")</f>
        <v/>
      </c>
      <c r="E623">
        <f>IF(A623&lt;&gt;"", XLOOKUP(A623, Extrato!$D:$D, Extrato!$A:$A, ""), "")</f>
        <v/>
      </c>
      <c r="F623">
        <f>IF(A623&lt;&gt;"", XLOOKUP(A623, Extrato!$D:$D, Extrato!$B:$B, ""), "")</f>
        <v/>
      </c>
      <c r="G623">
        <f>IF(A623&lt;&gt;"", XLOOKUP(A623, Extrato!$D:$D, Extrato!$C:$C, ""), "")</f>
        <v/>
      </c>
      <c r="H623">
        <f>IF(A623="", "", IF(E623="", "Pendente", IF(C623=G623, "OK", "Valor divergente")))</f>
        <v/>
      </c>
    </row>
    <row r="624">
      <c r="A624">
        <f>IF(NF!A622&lt;&gt;"", NF!A622, "")</f>
        <v/>
      </c>
      <c r="B624">
        <f>IF(A624&lt;&gt;"", NF!B622, "")</f>
        <v/>
      </c>
      <c r="C624">
        <f>IF(A624&lt;&gt;"", NF!C622, "")</f>
        <v/>
      </c>
      <c r="D624">
        <f>IF(A624&lt;&gt;"", NF!D622, "")</f>
        <v/>
      </c>
      <c r="E624">
        <f>IF(A624&lt;&gt;"", XLOOKUP(A624, Extrato!$D:$D, Extrato!$A:$A, ""), "")</f>
        <v/>
      </c>
      <c r="F624">
        <f>IF(A624&lt;&gt;"", XLOOKUP(A624, Extrato!$D:$D, Extrato!$B:$B, ""), "")</f>
        <v/>
      </c>
      <c r="G624">
        <f>IF(A624&lt;&gt;"", XLOOKUP(A624, Extrato!$D:$D, Extrato!$C:$C, ""), "")</f>
        <v/>
      </c>
      <c r="H624">
        <f>IF(A624="", "", IF(E624="", "Pendente", IF(C624=G624, "OK", "Valor divergente")))</f>
        <v/>
      </c>
    </row>
    <row r="625">
      <c r="A625">
        <f>IF(NF!A623&lt;&gt;"", NF!A623, "")</f>
        <v/>
      </c>
      <c r="B625">
        <f>IF(A625&lt;&gt;"", NF!B623, "")</f>
        <v/>
      </c>
      <c r="C625">
        <f>IF(A625&lt;&gt;"", NF!C623, "")</f>
        <v/>
      </c>
      <c r="D625">
        <f>IF(A625&lt;&gt;"", NF!D623, "")</f>
        <v/>
      </c>
      <c r="E625">
        <f>IF(A625&lt;&gt;"", XLOOKUP(A625, Extrato!$D:$D, Extrato!$A:$A, ""), "")</f>
        <v/>
      </c>
      <c r="F625">
        <f>IF(A625&lt;&gt;"", XLOOKUP(A625, Extrato!$D:$D, Extrato!$B:$B, ""), "")</f>
        <v/>
      </c>
      <c r="G625">
        <f>IF(A625&lt;&gt;"", XLOOKUP(A625, Extrato!$D:$D, Extrato!$C:$C, ""), "")</f>
        <v/>
      </c>
      <c r="H625">
        <f>IF(A625="", "", IF(E625="", "Pendente", IF(C625=G625, "OK", "Valor divergente")))</f>
        <v/>
      </c>
    </row>
    <row r="626">
      <c r="A626">
        <f>IF(NF!A624&lt;&gt;"", NF!A624, "")</f>
        <v/>
      </c>
      <c r="B626">
        <f>IF(A626&lt;&gt;"", NF!B624, "")</f>
        <v/>
      </c>
      <c r="C626">
        <f>IF(A626&lt;&gt;"", NF!C624, "")</f>
        <v/>
      </c>
      <c r="D626">
        <f>IF(A626&lt;&gt;"", NF!D624, "")</f>
        <v/>
      </c>
      <c r="E626">
        <f>IF(A626&lt;&gt;"", XLOOKUP(A626, Extrato!$D:$D, Extrato!$A:$A, ""), "")</f>
        <v/>
      </c>
      <c r="F626">
        <f>IF(A626&lt;&gt;"", XLOOKUP(A626, Extrato!$D:$D, Extrato!$B:$B, ""), "")</f>
        <v/>
      </c>
      <c r="G626">
        <f>IF(A626&lt;&gt;"", XLOOKUP(A626, Extrato!$D:$D, Extrato!$C:$C, ""), "")</f>
        <v/>
      </c>
      <c r="H626">
        <f>IF(A626="", "", IF(E626="", "Pendente", IF(C626=G626, "OK", "Valor divergente")))</f>
        <v/>
      </c>
    </row>
    <row r="627">
      <c r="A627">
        <f>IF(NF!A625&lt;&gt;"", NF!A625, "")</f>
        <v/>
      </c>
      <c r="B627">
        <f>IF(A627&lt;&gt;"", NF!B625, "")</f>
        <v/>
      </c>
      <c r="C627">
        <f>IF(A627&lt;&gt;"", NF!C625, "")</f>
        <v/>
      </c>
      <c r="D627">
        <f>IF(A627&lt;&gt;"", NF!D625, "")</f>
        <v/>
      </c>
      <c r="E627">
        <f>IF(A627&lt;&gt;"", XLOOKUP(A627, Extrato!$D:$D, Extrato!$A:$A, ""), "")</f>
        <v/>
      </c>
      <c r="F627">
        <f>IF(A627&lt;&gt;"", XLOOKUP(A627, Extrato!$D:$D, Extrato!$B:$B, ""), "")</f>
        <v/>
      </c>
      <c r="G627">
        <f>IF(A627&lt;&gt;"", XLOOKUP(A627, Extrato!$D:$D, Extrato!$C:$C, ""), "")</f>
        <v/>
      </c>
      <c r="H627">
        <f>IF(A627="", "", IF(E627="", "Pendente", IF(C627=G627, "OK", "Valor divergente")))</f>
        <v/>
      </c>
    </row>
    <row r="628">
      <c r="A628">
        <f>IF(NF!A626&lt;&gt;"", NF!A626, "")</f>
        <v/>
      </c>
      <c r="B628">
        <f>IF(A628&lt;&gt;"", NF!B626, "")</f>
        <v/>
      </c>
      <c r="C628">
        <f>IF(A628&lt;&gt;"", NF!C626, "")</f>
        <v/>
      </c>
      <c r="D628">
        <f>IF(A628&lt;&gt;"", NF!D626, "")</f>
        <v/>
      </c>
      <c r="E628">
        <f>IF(A628&lt;&gt;"", XLOOKUP(A628, Extrato!$D:$D, Extrato!$A:$A, ""), "")</f>
        <v/>
      </c>
      <c r="F628">
        <f>IF(A628&lt;&gt;"", XLOOKUP(A628, Extrato!$D:$D, Extrato!$B:$B, ""), "")</f>
        <v/>
      </c>
      <c r="G628">
        <f>IF(A628&lt;&gt;"", XLOOKUP(A628, Extrato!$D:$D, Extrato!$C:$C, ""), "")</f>
        <v/>
      </c>
      <c r="H628">
        <f>IF(A628="", "", IF(E628="", "Pendente", IF(C628=G628, "OK", "Valor divergente")))</f>
        <v/>
      </c>
    </row>
    <row r="629">
      <c r="A629">
        <f>IF(NF!A627&lt;&gt;"", NF!A627, "")</f>
        <v/>
      </c>
      <c r="B629">
        <f>IF(A629&lt;&gt;"", NF!B627, "")</f>
        <v/>
      </c>
      <c r="C629">
        <f>IF(A629&lt;&gt;"", NF!C627, "")</f>
        <v/>
      </c>
      <c r="D629">
        <f>IF(A629&lt;&gt;"", NF!D627, "")</f>
        <v/>
      </c>
      <c r="E629">
        <f>IF(A629&lt;&gt;"", XLOOKUP(A629, Extrato!$D:$D, Extrato!$A:$A, ""), "")</f>
        <v/>
      </c>
      <c r="F629">
        <f>IF(A629&lt;&gt;"", XLOOKUP(A629, Extrato!$D:$D, Extrato!$B:$B, ""), "")</f>
        <v/>
      </c>
      <c r="G629">
        <f>IF(A629&lt;&gt;"", XLOOKUP(A629, Extrato!$D:$D, Extrato!$C:$C, ""), "")</f>
        <v/>
      </c>
      <c r="H629">
        <f>IF(A629="", "", IF(E629="", "Pendente", IF(C629=G629, "OK", "Valor divergente")))</f>
        <v/>
      </c>
    </row>
    <row r="630">
      <c r="A630">
        <f>IF(NF!A628&lt;&gt;"", NF!A628, "")</f>
        <v/>
      </c>
      <c r="B630">
        <f>IF(A630&lt;&gt;"", NF!B628, "")</f>
        <v/>
      </c>
      <c r="C630">
        <f>IF(A630&lt;&gt;"", NF!C628, "")</f>
        <v/>
      </c>
      <c r="D630">
        <f>IF(A630&lt;&gt;"", NF!D628, "")</f>
        <v/>
      </c>
      <c r="E630">
        <f>IF(A630&lt;&gt;"", XLOOKUP(A630, Extrato!$D:$D, Extrato!$A:$A, ""), "")</f>
        <v/>
      </c>
      <c r="F630">
        <f>IF(A630&lt;&gt;"", XLOOKUP(A630, Extrato!$D:$D, Extrato!$B:$B, ""), "")</f>
        <v/>
      </c>
      <c r="G630">
        <f>IF(A630&lt;&gt;"", XLOOKUP(A630, Extrato!$D:$D, Extrato!$C:$C, ""), "")</f>
        <v/>
      </c>
      <c r="H630">
        <f>IF(A630="", "", IF(E630="", "Pendente", IF(C630=G630, "OK", "Valor divergente")))</f>
        <v/>
      </c>
    </row>
    <row r="631">
      <c r="A631">
        <f>IF(NF!A629&lt;&gt;"", NF!A629, "")</f>
        <v/>
      </c>
      <c r="B631">
        <f>IF(A631&lt;&gt;"", NF!B629, "")</f>
        <v/>
      </c>
      <c r="C631">
        <f>IF(A631&lt;&gt;"", NF!C629, "")</f>
        <v/>
      </c>
      <c r="D631">
        <f>IF(A631&lt;&gt;"", NF!D629, "")</f>
        <v/>
      </c>
      <c r="E631">
        <f>IF(A631&lt;&gt;"", XLOOKUP(A631, Extrato!$D:$D, Extrato!$A:$A, ""), "")</f>
        <v/>
      </c>
      <c r="F631">
        <f>IF(A631&lt;&gt;"", XLOOKUP(A631, Extrato!$D:$D, Extrato!$B:$B, ""), "")</f>
        <v/>
      </c>
      <c r="G631">
        <f>IF(A631&lt;&gt;"", XLOOKUP(A631, Extrato!$D:$D, Extrato!$C:$C, ""), "")</f>
        <v/>
      </c>
      <c r="H631">
        <f>IF(A631="", "", IF(E631="", "Pendente", IF(C631=G631, "OK", "Valor divergente")))</f>
        <v/>
      </c>
    </row>
    <row r="632">
      <c r="A632">
        <f>IF(NF!A630&lt;&gt;"", NF!A630, "")</f>
        <v/>
      </c>
      <c r="B632">
        <f>IF(A632&lt;&gt;"", NF!B630, "")</f>
        <v/>
      </c>
      <c r="C632">
        <f>IF(A632&lt;&gt;"", NF!C630, "")</f>
        <v/>
      </c>
      <c r="D632">
        <f>IF(A632&lt;&gt;"", NF!D630, "")</f>
        <v/>
      </c>
      <c r="E632">
        <f>IF(A632&lt;&gt;"", XLOOKUP(A632, Extrato!$D:$D, Extrato!$A:$A, ""), "")</f>
        <v/>
      </c>
      <c r="F632">
        <f>IF(A632&lt;&gt;"", XLOOKUP(A632, Extrato!$D:$D, Extrato!$B:$B, ""), "")</f>
        <v/>
      </c>
      <c r="G632">
        <f>IF(A632&lt;&gt;"", XLOOKUP(A632, Extrato!$D:$D, Extrato!$C:$C, ""), "")</f>
        <v/>
      </c>
      <c r="H632">
        <f>IF(A632="", "", IF(E632="", "Pendente", IF(C632=G632, "OK", "Valor divergente")))</f>
        <v/>
      </c>
    </row>
    <row r="633">
      <c r="A633">
        <f>IF(NF!A631&lt;&gt;"", NF!A631, "")</f>
        <v/>
      </c>
      <c r="B633">
        <f>IF(A633&lt;&gt;"", NF!B631, "")</f>
        <v/>
      </c>
      <c r="C633">
        <f>IF(A633&lt;&gt;"", NF!C631, "")</f>
        <v/>
      </c>
      <c r="D633">
        <f>IF(A633&lt;&gt;"", NF!D631, "")</f>
        <v/>
      </c>
      <c r="E633">
        <f>IF(A633&lt;&gt;"", XLOOKUP(A633, Extrato!$D:$D, Extrato!$A:$A, ""), "")</f>
        <v/>
      </c>
      <c r="F633">
        <f>IF(A633&lt;&gt;"", XLOOKUP(A633, Extrato!$D:$D, Extrato!$B:$B, ""), "")</f>
        <v/>
      </c>
      <c r="G633">
        <f>IF(A633&lt;&gt;"", XLOOKUP(A633, Extrato!$D:$D, Extrato!$C:$C, ""), "")</f>
        <v/>
      </c>
      <c r="H633">
        <f>IF(A633="", "", IF(E633="", "Pendente", IF(C633=G633, "OK", "Valor divergente")))</f>
        <v/>
      </c>
    </row>
    <row r="634">
      <c r="A634">
        <f>IF(NF!A632&lt;&gt;"", NF!A632, "")</f>
        <v/>
      </c>
      <c r="B634">
        <f>IF(A634&lt;&gt;"", NF!B632, "")</f>
        <v/>
      </c>
      <c r="C634">
        <f>IF(A634&lt;&gt;"", NF!C632, "")</f>
        <v/>
      </c>
      <c r="D634">
        <f>IF(A634&lt;&gt;"", NF!D632, "")</f>
        <v/>
      </c>
      <c r="E634">
        <f>IF(A634&lt;&gt;"", XLOOKUP(A634, Extrato!$D:$D, Extrato!$A:$A, ""), "")</f>
        <v/>
      </c>
      <c r="F634">
        <f>IF(A634&lt;&gt;"", XLOOKUP(A634, Extrato!$D:$D, Extrato!$B:$B, ""), "")</f>
        <v/>
      </c>
      <c r="G634">
        <f>IF(A634&lt;&gt;"", XLOOKUP(A634, Extrato!$D:$D, Extrato!$C:$C, ""), "")</f>
        <v/>
      </c>
      <c r="H634">
        <f>IF(A634="", "", IF(E634="", "Pendente", IF(C634=G634, "OK", "Valor divergente")))</f>
        <v/>
      </c>
    </row>
    <row r="635">
      <c r="A635">
        <f>IF(NF!A633&lt;&gt;"", NF!A633, "")</f>
        <v/>
      </c>
      <c r="B635">
        <f>IF(A635&lt;&gt;"", NF!B633, "")</f>
        <v/>
      </c>
      <c r="C635">
        <f>IF(A635&lt;&gt;"", NF!C633, "")</f>
        <v/>
      </c>
      <c r="D635">
        <f>IF(A635&lt;&gt;"", NF!D633, "")</f>
        <v/>
      </c>
      <c r="E635">
        <f>IF(A635&lt;&gt;"", XLOOKUP(A635, Extrato!$D:$D, Extrato!$A:$A, ""), "")</f>
        <v/>
      </c>
      <c r="F635">
        <f>IF(A635&lt;&gt;"", XLOOKUP(A635, Extrato!$D:$D, Extrato!$B:$B, ""), "")</f>
        <v/>
      </c>
      <c r="G635">
        <f>IF(A635&lt;&gt;"", XLOOKUP(A635, Extrato!$D:$D, Extrato!$C:$C, ""), "")</f>
        <v/>
      </c>
      <c r="H635">
        <f>IF(A635="", "", IF(E635="", "Pendente", IF(C635=G635, "OK", "Valor divergente")))</f>
        <v/>
      </c>
    </row>
    <row r="636">
      <c r="A636">
        <f>IF(NF!A634&lt;&gt;"", NF!A634, "")</f>
        <v/>
      </c>
      <c r="B636">
        <f>IF(A636&lt;&gt;"", NF!B634, "")</f>
        <v/>
      </c>
      <c r="C636">
        <f>IF(A636&lt;&gt;"", NF!C634, "")</f>
        <v/>
      </c>
      <c r="D636">
        <f>IF(A636&lt;&gt;"", NF!D634, "")</f>
        <v/>
      </c>
      <c r="E636">
        <f>IF(A636&lt;&gt;"", XLOOKUP(A636, Extrato!$D:$D, Extrato!$A:$A, ""), "")</f>
        <v/>
      </c>
      <c r="F636">
        <f>IF(A636&lt;&gt;"", XLOOKUP(A636, Extrato!$D:$D, Extrato!$B:$B, ""), "")</f>
        <v/>
      </c>
      <c r="G636">
        <f>IF(A636&lt;&gt;"", XLOOKUP(A636, Extrato!$D:$D, Extrato!$C:$C, ""), "")</f>
        <v/>
      </c>
      <c r="H636">
        <f>IF(A636="", "", IF(E636="", "Pendente", IF(C636=G636, "OK", "Valor divergente")))</f>
        <v/>
      </c>
    </row>
    <row r="637">
      <c r="A637">
        <f>IF(NF!A635&lt;&gt;"", NF!A635, "")</f>
        <v/>
      </c>
      <c r="B637">
        <f>IF(A637&lt;&gt;"", NF!B635, "")</f>
        <v/>
      </c>
      <c r="C637">
        <f>IF(A637&lt;&gt;"", NF!C635, "")</f>
        <v/>
      </c>
      <c r="D637">
        <f>IF(A637&lt;&gt;"", NF!D635, "")</f>
        <v/>
      </c>
      <c r="E637">
        <f>IF(A637&lt;&gt;"", XLOOKUP(A637, Extrato!$D:$D, Extrato!$A:$A, ""), "")</f>
        <v/>
      </c>
      <c r="F637">
        <f>IF(A637&lt;&gt;"", XLOOKUP(A637, Extrato!$D:$D, Extrato!$B:$B, ""), "")</f>
        <v/>
      </c>
      <c r="G637">
        <f>IF(A637&lt;&gt;"", XLOOKUP(A637, Extrato!$D:$D, Extrato!$C:$C, ""), "")</f>
        <v/>
      </c>
      <c r="H637">
        <f>IF(A637="", "", IF(E637="", "Pendente", IF(C637=G637, "OK", "Valor divergente")))</f>
        <v/>
      </c>
    </row>
    <row r="638">
      <c r="A638">
        <f>IF(NF!A636&lt;&gt;"", NF!A636, "")</f>
        <v/>
      </c>
      <c r="B638">
        <f>IF(A638&lt;&gt;"", NF!B636, "")</f>
        <v/>
      </c>
      <c r="C638">
        <f>IF(A638&lt;&gt;"", NF!C636, "")</f>
        <v/>
      </c>
      <c r="D638">
        <f>IF(A638&lt;&gt;"", NF!D636, "")</f>
        <v/>
      </c>
      <c r="E638">
        <f>IF(A638&lt;&gt;"", XLOOKUP(A638, Extrato!$D:$D, Extrato!$A:$A, ""), "")</f>
        <v/>
      </c>
      <c r="F638">
        <f>IF(A638&lt;&gt;"", XLOOKUP(A638, Extrato!$D:$D, Extrato!$B:$B, ""), "")</f>
        <v/>
      </c>
      <c r="G638">
        <f>IF(A638&lt;&gt;"", XLOOKUP(A638, Extrato!$D:$D, Extrato!$C:$C, ""), "")</f>
        <v/>
      </c>
      <c r="H638">
        <f>IF(A638="", "", IF(E638="", "Pendente", IF(C638=G638, "OK", "Valor divergente")))</f>
        <v/>
      </c>
    </row>
    <row r="639">
      <c r="A639">
        <f>IF(NF!A637&lt;&gt;"", NF!A637, "")</f>
        <v/>
      </c>
      <c r="B639">
        <f>IF(A639&lt;&gt;"", NF!B637, "")</f>
        <v/>
      </c>
      <c r="C639">
        <f>IF(A639&lt;&gt;"", NF!C637, "")</f>
        <v/>
      </c>
      <c r="D639">
        <f>IF(A639&lt;&gt;"", NF!D637, "")</f>
        <v/>
      </c>
      <c r="E639">
        <f>IF(A639&lt;&gt;"", XLOOKUP(A639, Extrato!$D:$D, Extrato!$A:$A, ""), "")</f>
        <v/>
      </c>
      <c r="F639">
        <f>IF(A639&lt;&gt;"", XLOOKUP(A639, Extrato!$D:$D, Extrato!$B:$B, ""), "")</f>
        <v/>
      </c>
      <c r="G639">
        <f>IF(A639&lt;&gt;"", XLOOKUP(A639, Extrato!$D:$D, Extrato!$C:$C, ""), "")</f>
        <v/>
      </c>
      <c r="H639">
        <f>IF(A639="", "", IF(E639="", "Pendente", IF(C639=G639, "OK", "Valor divergente")))</f>
        <v/>
      </c>
    </row>
    <row r="640">
      <c r="A640">
        <f>IF(NF!A638&lt;&gt;"", NF!A638, "")</f>
        <v/>
      </c>
      <c r="B640">
        <f>IF(A640&lt;&gt;"", NF!B638, "")</f>
        <v/>
      </c>
      <c r="C640">
        <f>IF(A640&lt;&gt;"", NF!C638, "")</f>
        <v/>
      </c>
      <c r="D640">
        <f>IF(A640&lt;&gt;"", NF!D638, "")</f>
        <v/>
      </c>
      <c r="E640">
        <f>IF(A640&lt;&gt;"", XLOOKUP(A640, Extrato!$D:$D, Extrato!$A:$A, ""), "")</f>
        <v/>
      </c>
      <c r="F640">
        <f>IF(A640&lt;&gt;"", XLOOKUP(A640, Extrato!$D:$D, Extrato!$B:$B, ""), "")</f>
        <v/>
      </c>
      <c r="G640">
        <f>IF(A640&lt;&gt;"", XLOOKUP(A640, Extrato!$D:$D, Extrato!$C:$C, ""), "")</f>
        <v/>
      </c>
      <c r="H640">
        <f>IF(A640="", "", IF(E640="", "Pendente", IF(C640=G640, "OK", "Valor divergente")))</f>
        <v/>
      </c>
    </row>
    <row r="641">
      <c r="A641">
        <f>IF(NF!A639&lt;&gt;"", NF!A639, "")</f>
        <v/>
      </c>
      <c r="B641">
        <f>IF(A641&lt;&gt;"", NF!B639, "")</f>
        <v/>
      </c>
      <c r="C641">
        <f>IF(A641&lt;&gt;"", NF!C639, "")</f>
        <v/>
      </c>
      <c r="D641">
        <f>IF(A641&lt;&gt;"", NF!D639, "")</f>
        <v/>
      </c>
      <c r="E641">
        <f>IF(A641&lt;&gt;"", XLOOKUP(A641, Extrato!$D:$D, Extrato!$A:$A, ""), "")</f>
        <v/>
      </c>
      <c r="F641">
        <f>IF(A641&lt;&gt;"", XLOOKUP(A641, Extrato!$D:$D, Extrato!$B:$B, ""), "")</f>
        <v/>
      </c>
      <c r="G641">
        <f>IF(A641&lt;&gt;"", XLOOKUP(A641, Extrato!$D:$D, Extrato!$C:$C, ""), "")</f>
        <v/>
      </c>
      <c r="H641">
        <f>IF(A641="", "", IF(E641="", "Pendente", IF(C641=G641, "OK", "Valor divergente")))</f>
        <v/>
      </c>
    </row>
    <row r="642">
      <c r="A642">
        <f>IF(NF!A640&lt;&gt;"", NF!A640, "")</f>
        <v/>
      </c>
      <c r="B642">
        <f>IF(A642&lt;&gt;"", NF!B640, "")</f>
        <v/>
      </c>
      <c r="C642">
        <f>IF(A642&lt;&gt;"", NF!C640, "")</f>
        <v/>
      </c>
      <c r="D642">
        <f>IF(A642&lt;&gt;"", NF!D640, "")</f>
        <v/>
      </c>
      <c r="E642">
        <f>IF(A642&lt;&gt;"", XLOOKUP(A642, Extrato!$D:$D, Extrato!$A:$A, ""), "")</f>
        <v/>
      </c>
      <c r="F642">
        <f>IF(A642&lt;&gt;"", XLOOKUP(A642, Extrato!$D:$D, Extrato!$B:$B, ""), "")</f>
        <v/>
      </c>
      <c r="G642">
        <f>IF(A642&lt;&gt;"", XLOOKUP(A642, Extrato!$D:$D, Extrato!$C:$C, ""), "")</f>
        <v/>
      </c>
      <c r="H642">
        <f>IF(A642="", "", IF(E642="", "Pendente", IF(C642=G642, "OK", "Valor divergente")))</f>
        <v/>
      </c>
    </row>
    <row r="643">
      <c r="A643">
        <f>IF(NF!A641&lt;&gt;"", NF!A641, "")</f>
        <v/>
      </c>
      <c r="B643">
        <f>IF(A643&lt;&gt;"", NF!B641, "")</f>
        <v/>
      </c>
      <c r="C643">
        <f>IF(A643&lt;&gt;"", NF!C641, "")</f>
        <v/>
      </c>
      <c r="D643">
        <f>IF(A643&lt;&gt;"", NF!D641, "")</f>
        <v/>
      </c>
      <c r="E643">
        <f>IF(A643&lt;&gt;"", XLOOKUP(A643, Extrato!$D:$D, Extrato!$A:$A, ""), "")</f>
        <v/>
      </c>
      <c r="F643">
        <f>IF(A643&lt;&gt;"", XLOOKUP(A643, Extrato!$D:$D, Extrato!$B:$B, ""), "")</f>
        <v/>
      </c>
      <c r="G643">
        <f>IF(A643&lt;&gt;"", XLOOKUP(A643, Extrato!$D:$D, Extrato!$C:$C, ""), "")</f>
        <v/>
      </c>
      <c r="H643">
        <f>IF(A643="", "", IF(E643="", "Pendente", IF(C643=G643, "OK", "Valor divergente")))</f>
        <v/>
      </c>
    </row>
    <row r="644">
      <c r="A644">
        <f>IF(NF!A642&lt;&gt;"", NF!A642, "")</f>
        <v/>
      </c>
      <c r="B644">
        <f>IF(A644&lt;&gt;"", NF!B642, "")</f>
        <v/>
      </c>
      <c r="C644">
        <f>IF(A644&lt;&gt;"", NF!C642, "")</f>
        <v/>
      </c>
      <c r="D644">
        <f>IF(A644&lt;&gt;"", NF!D642, "")</f>
        <v/>
      </c>
      <c r="E644">
        <f>IF(A644&lt;&gt;"", XLOOKUP(A644, Extrato!$D:$D, Extrato!$A:$A, ""), "")</f>
        <v/>
      </c>
      <c r="F644">
        <f>IF(A644&lt;&gt;"", XLOOKUP(A644, Extrato!$D:$D, Extrato!$B:$B, ""), "")</f>
        <v/>
      </c>
      <c r="G644">
        <f>IF(A644&lt;&gt;"", XLOOKUP(A644, Extrato!$D:$D, Extrato!$C:$C, ""), "")</f>
        <v/>
      </c>
      <c r="H644">
        <f>IF(A644="", "", IF(E644="", "Pendente", IF(C644=G644, "OK", "Valor divergente")))</f>
        <v/>
      </c>
    </row>
    <row r="645">
      <c r="A645">
        <f>IF(NF!A643&lt;&gt;"", NF!A643, "")</f>
        <v/>
      </c>
      <c r="B645">
        <f>IF(A645&lt;&gt;"", NF!B643, "")</f>
        <v/>
      </c>
      <c r="C645">
        <f>IF(A645&lt;&gt;"", NF!C643, "")</f>
        <v/>
      </c>
      <c r="D645">
        <f>IF(A645&lt;&gt;"", NF!D643, "")</f>
        <v/>
      </c>
      <c r="E645">
        <f>IF(A645&lt;&gt;"", XLOOKUP(A645, Extrato!$D:$D, Extrato!$A:$A, ""), "")</f>
        <v/>
      </c>
      <c r="F645">
        <f>IF(A645&lt;&gt;"", XLOOKUP(A645, Extrato!$D:$D, Extrato!$B:$B, ""), "")</f>
        <v/>
      </c>
      <c r="G645">
        <f>IF(A645&lt;&gt;"", XLOOKUP(A645, Extrato!$D:$D, Extrato!$C:$C, ""), "")</f>
        <v/>
      </c>
      <c r="H645">
        <f>IF(A645="", "", IF(E645="", "Pendente", IF(C645=G645, "OK", "Valor divergente")))</f>
        <v/>
      </c>
    </row>
    <row r="646">
      <c r="A646">
        <f>IF(NF!A644&lt;&gt;"", NF!A644, "")</f>
        <v/>
      </c>
      <c r="B646">
        <f>IF(A646&lt;&gt;"", NF!B644, "")</f>
        <v/>
      </c>
      <c r="C646">
        <f>IF(A646&lt;&gt;"", NF!C644, "")</f>
        <v/>
      </c>
      <c r="D646">
        <f>IF(A646&lt;&gt;"", NF!D644, "")</f>
        <v/>
      </c>
      <c r="E646">
        <f>IF(A646&lt;&gt;"", XLOOKUP(A646, Extrato!$D:$D, Extrato!$A:$A, ""), "")</f>
        <v/>
      </c>
      <c r="F646">
        <f>IF(A646&lt;&gt;"", XLOOKUP(A646, Extrato!$D:$D, Extrato!$B:$B, ""), "")</f>
        <v/>
      </c>
      <c r="G646">
        <f>IF(A646&lt;&gt;"", XLOOKUP(A646, Extrato!$D:$D, Extrato!$C:$C, ""), "")</f>
        <v/>
      </c>
      <c r="H646">
        <f>IF(A646="", "", IF(E646="", "Pendente", IF(C646=G646, "OK", "Valor divergente")))</f>
        <v/>
      </c>
    </row>
    <row r="647">
      <c r="A647">
        <f>IF(NF!A645&lt;&gt;"", NF!A645, "")</f>
        <v/>
      </c>
      <c r="B647">
        <f>IF(A647&lt;&gt;"", NF!B645, "")</f>
        <v/>
      </c>
      <c r="C647">
        <f>IF(A647&lt;&gt;"", NF!C645, "")</f>
        <v/>
      </c>
      <c r="D647">
        <f>IF(A647&lt;&gt;"", NF!D645, "")</f>
        <v/>
      </c>
      <c r="E647">
        <f>IF(A647&lt;&gt;"", XLOOKUP(A647, Extrato!$D:$D, Extrato!$A:$A, ""), "")</f>
        <v/>
      </c>
      <c r="F647">
        <f>IF(A647&lt;&gt;"", XLOOKUP(A647, Extrato!$D:$D, Extrato!$B:$B, ""), "")</f>
        <v/>
      </c>
      <c r="G647">
        <f>IF(A647&lt;&gt;"", XLOOKUP(A647, Extrato!$D:$D, Extrato!$C:$C, ""), "")</f>
        <v/>
      </c>
      <c r="H647">
        <f>IF(A647="", "", IF(E647="", "Pendente", IF(C647=G647, "OK", "Valor divergente")))</f>
        <v/>
      </c>
    </row>
    <row r="648">
      <c r="A648">
        <f>IF(NF!A646&lt;&gt;"", NF!A646, "")</f>
        <v/>
      </c>
      <c r="B648">
        <f>IF(A648&lt;&gt;"", NF!B646, "")</f>
        <v/>
      </c>
      <c r="C648">
        <f>IF(A648&lt;&gt;"", NF!C646, "")</f>
        <v/>
      </c>
      <c r="D648">
        <f>IF(A648&lt;&gt;"", NF!D646, "")</f>
        <v/>
      </c>
      <c r="E648">
        <f>IF(A648&lt;&gt;"", XLOOKUP(A648, Extrato!$D:$D, Extrato!$A:$A, ""), "")</f>
        <v/>
      </c>
      <c r="F648">
        <f>IF(A648&lt;&gt;"", XLOOKUP(A648, Extrato!$D:$D, Extrato!$B:$B, ""), "")</f>
        <v/>
      </c>
      <c r="G648">
        <f>IF(A648&lt;&gt;"", XLOOKUP(A648, Extrato!$D:$D, Extrato!$C:$C, ""), "")</f>
        <v/>
      </c>
      <c r="H648">
        <f>IF(A648="", "", IF(E648="", "Pendente", IF(C648=G648, "OK", "Valor divergente")))</f>
        <v/>
      </c>
    </row>
    <row r="649">
      <c r="A649">
        <f>IF(NF!A647&lt;&gt;"", NF!A647, "")</f>
        <v/>
      </c>
      <c r="B649">
        <f>IF(A649&lt;&gt;"", NF!B647, "")</f>
        <v/>
      </c>
      <c r="C649">
        <f>IF(A649&lt;&gt;"", NF!C647, "")</f>
        <v/>
      </c>
      <c r="D649">
        <f>IF(A649&lt;&gt;"", NF!D647, "")</f>
        <v/>
      </c>
      <c r="E649">
        <f>IF(A649&lt;&gt;"", XLOOKUP(A649, Extrato!$D:$D, Extrato!$A:$A, ""), "")</f>
        <v/>
      </c>
      <c r="F649">
        <f>IF(A649&lt;&gt;"", XLOOKUP(A649, Extrato!$D:$D, Extrato!$B:$B, ""), "")</f>
        <v/>
      </c>
      <c r="G649">
        <f>IF(A649&lt;&gt;"", XLOOKUP(A649, Extrato!$D:$D, Extrato!$C:$C, ""), "")</f>
        <v/>
      </c>
      <c r="H649">
        <f>IF(A649="", "", IF(E649="", "Pendente", IF(C649=G649, "OK", "Valor divergente")))</f>
        <v/>
      </c>
    </row>
    <row r="650">
      <c r="A650">
        <f>IF(NF!A648&lt;&gt;"", NF!A648, "")</f>
        <v/>
      </c>
      <c r="B650">
        <f>IF(A650&lt;&gt;"", NF!B648, "")</f>
        <v/>
      </c>
      <c r="C650">
        <f>IF(A650&lt;&gt;"", NF!C648, "")</f>
        <v/>
      </c>
      <c r="D650">
        <f>IF(A650&lt;&gt;"", NF!D648, "")</f>
        <v/>
      </c>
      <c r="E650">
        <f>IF(A650&lt;&gt;"", XLOOKUP(A650, Extrato!$D:$D, Extrato!$A:$A, ""), "")</f>
        <v/>
      </c>
      <c r="F650">
        <f>IF(A650&lt;&gt;"", XLOOKUP(A650, Extrato!$D:$D, Extrato!$B:$B, ""), "")</f>
        <v/>
      </c>
      <c r="G650">
        <f>IF(A650&lt;&gt;"", XLOOKUP(A650, Extrato!$D:$D, Extrato!$C:$C, ""), "")</f>
        <v/>
      </c>
      <c r="H650">
        <f>IF(A650="", "", IF(E650="", "Pendente", IF(C650=G650, "OK", "Valor divergente")))</f>
        <v/>
      </c>
    </row>
    <row r="651">
      <c r="A651">
        <f>IF(NF!A649&lt;&gt;"", NF!A649, "")</f>
        <v/>
      </c>
      <c r="B651">
        <f>IF(A651&lt;&gt;"", NF!B649, "")</f>
        <v/>
      </c>
      <c r="C651">
        <f>IF(A651&lt;&gt;"", NF!C649, "")</f>
        <v/>
      </c>
      <c r="D651">
        <f>IF(A651&lt;&gt;"", NF!D649, "")</f>
        <v/>
      </c>
      <c r="E651">
        <f>IF(A651&lt;&gt;"", XLOOKUP(A651, Extrato!$D:$D, Extrato!$A:$A, ""), "")</f>
        <v/>
      </c>
      <c r="F651">
        <f>IF(A651&lt;&gt;"", XLOOKUP(A651, Extrato!$D:$D, Extrato!$B:$B, ""), "")</f>
        <v/>
      </c>
      <c r="G651">
        <f>IF(A651&lt;&gt;"", XLOOKUP(A651, Extrato!$D:$D, Extrato!$C:$C, ""), "")</f>
        <v/>
      </c>
      <c r="H651">
        <f>IF(A651="", "", IF(E651="", "Pendente", IF(C651=G651, "OK", "Valor divergente")))</f>
        <v/>
      </c>
    </row>
    <row r="652">
      <c r="A652">
        <f>IF(NF!A650&lt;&gt;"", NF!A650, "")</f>
        <v/>
      </c>
      <c r="B652">
        <f>IF(A652&lt;&gt;"", NF!B650, "")</f>
        <v/>
      </c>
      <c r="C652">
        <f>IF(A652&lt;&gt;"", NF!C650, "")</f>
        <v/>
      </c>
      <c r="D652">
        <f>IF(A652&lt;&gt;"", NF!D650, "")</f>
        <v/>
      </c>
      <c r="E652">
        <f>IF(A652&lt;&gt;"", XLOOKUP(A652, Extrato!$D:$D, Extrato!$A:$A, ""), "")</f>
        <v/>
      </c>
      <c r="F652">
        <f>IF(A652&lt;&gt;"", XLOOKUP(A652, Extrato!$D:$D, Extrato!$B:$B, ""), "")</f>
        <v/>
      </c>
      <c r="G652">
        <f>IF(A652&lt;&gt;"", XLOOKUP(A652, Extrato!$D:$D, Extrato!$C:$C, ""), "")</f>
        <v/>
      </c>
      <c r="H652">
        <f>IF(A652="", "", IF(E652="", "Pendente", IF(C652=G652, "OK", "Valor divergente")))</f>
        <v/>
      </c>
    </row>
    <row r="653">
      <c r="A653">
        <f>IF(NF!A651&lt;&gt;"", NF!A651, "")</f>
        <v/>
      </c>
      <c r="B653">
        <f>IF(A653&lt;&gt;"", NF!B651, "")</f>
        <v/>
      </c>
      <c r="C653">
        <f>IF(A653&lt;&gt;"", NF!C651, "")</f>
        <v/>
      </c>
      <c r="D653">
        <f>IF(A653&lt;&gt;"", NF!D651, "")</f>
        <v/>
      </c>
      <c r="E653">
        <f>IF(A653&lt;&gt;"", XLOOKUP(A653, Extrato!$D:$D, Extrato!$A:$A, ""), "")</f>
        <v/>
      </c>
      <c r="F653">
        <f>IF(A653&lt;&gt;"", XLOOKUP(A653, Extrato!$D:$D, Extrato!$B:$B, ""), "")</f>
        <v/>
      </c>
      <c r="G653">
        <f>IF(A653&lt;&gt;"", XLOOKUP(A653, Extrato!$D:$D, Extrato!$C:$C, ""), "")</f>
        <v/>
      </c>
      <c r="H653">
        <f>IF(A653="", "", IF(E653="", "Pendente", IF(C653=G653, "OK", "Valor divergente")))</f>
        <v/>
      </c>
    </row>
    <row r="654">
      <c r="A654">
        <f>IF(NF!A652&lt;&gt;"", NF!A652, "")</f>
        <v/>
      </c>
      <c r="B654">
        <f>IF(A654&lt;&gt;"", NF!B652, "")</f>
        <v/>
      </c>
      <c r="C654">
        <f>IF(A654&lt;&gt;"", NF!C652, "")</f>
        <v/>
      </c>
      <c r="D654">
        <f>IF(A654&lt;&gt;"", NF!D652, "")</f>
        <v/>
      </c>
      <c r="E654">
        <f>IF(A654&lt;&gt;"", XLOOKUP(A654, Extrato!$D:$D, Extrato!$A:$A, ""), "")</f>
        <v/>
      </c>
      <c r="F654">
        <f>IF(A654&lt;&gt;"", XLOOKUP(A654, Extrato!$D:$D, Extrato!$B:$B, ""), "")</f>
        <v/>
      </c>
      <c r="G654">
        <f>IF(A654&lt;&gt;"", XLOOKUP(A654, Extrato!$D:$D, Extrato!$C:$C, ""), "")</f>
        <v/>
      </c>
      <c r="H654">
        <f>IF(A654="", "", IF(E654="", "Pendente", IF(C654=G654, "OK", "Valor divergente")))</f>
        <v/>
      </c>
    </row>
    <row r="655">
      <c r="A655">
        <f>IF(NF!A653&lt;&gt;"", NF!A653, "")</f>
        <v/>
      </c>
      <c r="B655">
        <f>IF(A655&lt;&gt;"", NF!B653, "")</f>
        <v/>
      </c>
      <c r="C655">
        <f>IF(A655&lt;&gt;"", NF!C653, "")</f>
        <v/>
      </c>
      <c r="D655">
        <f>IF(A655&lt;&gt;"", NF!D653, "")</f>
        <v/>
      </c>
      <c r="E655">
        <f>IF(A655&lt;&gt;"", XLOOKUP(A655, Extrato!$D:$D, Extrato!$A:$A, ""), "")</f>
        <v/>
      </c>
      <c r="F655">
        <f>IF(A655&lt;&gt;"", XLOOKUP(A655, Extrato!$D:$D, Extrato!$B:$B, ""), "")</f>
        <v/>
      </c>
      <c r="G655">
        <f>IF(A655&lt;&gt;"", XLOOKUP(A655, Extrato!$D:$D, Extrato!$C:$C, ""), "")</f>
        <v/>
      </c>
      <c r="H655">
        <f>IF(A655="", "", IF(E655="", "Pendente", IF(C655=G655, "OK", "Valor divergente")))</f>
        <v/>
      </c>
    </row>
    <row r="656">
      <c r="A656">
        <f>IF(NF!A654&lt;&gt;"", NF!A654, "")</f>
        <v/>
      </c>
      <c r="B656">
        <f>IF(A656&lt;&gt;"", NF!B654, "")</f>
        <v/>
      </c>
      <c r="C656">
        <f>IF(A656&lt;&gt;"", NF!C654, "")</f>
        <v/>
      </c>
      <c r="D656">
        <f>IF(A656&lt;&gt;"", NF!D654, "")</f>
        <v/>
      </c>
      <c r="E656">
        <f>IF(A656&lt;&gt;"", XLOOKUP(A656, Extrato!$D:$D, Extrato!$A:$A, ""), "")</f>
        <v/>
      </c>
      <c r="F656">
        <f>IF(A656&lt;&gt;"", XLOOKUP(A656, Extrato!$D:$D, Extrato!$B:$B, ""), "")</f>
        <v/>
      </c>
      <c r="G656">
        <f>IF(A656&lt;&gt;"", XLOOKUP(A656, Extrato!$D:$D, Extrato!$C:$C, ""), "")</f>
        <v/>
      </c>
      <c r="H656">
        <f>IF(A656="", "", IF(E656="", "Pendente", IF(C656=G656, "OK", "Valor divergente")))</f>
        <v/>
      </c>
    </row>
    <row r="657">
      <c r="A657">
        <f>IF(NF!A655&lt;&gt;"", NF!A655, "")</f>
        <v/>
      </c>
      <c r="B657">
        <f>IF(A657&lt;&gt;"", NF!B655, "")</f>
        <v/>
      </c>
      <c r="C657">
        <f>IF(A657&lt;&gt;"", NF!C655, "")</f>
        <v/>
      </c>
      <c r="D657">
        <f>IF(A657&lt;&gt;"", NF!D655, "")</f>
        <v/>
      </c>
      <c r="E657">
        <f>IF(A657&lt;&gt;"", XLOOKUP(A657, Extrato!$D:$D, Extrato!$A:$A, ""), "")</f>
        <v/>
      </c>
      <c r="F657">
        <f>IF(A657&lt;&gt;"", XLOOKUP(A657, Extrato!$D:$D, Extrato!$B:$B, ""), "")</f>
        <v/>
      </c>
      <c r="G657">
        <f>IF(A657&lt;&gt;"", XLOOKUP(A657, Extrato!$D:$D, Extrato!$C:$C, ""), "")</f>
        <v/>
      </c>
      <c r="H657">
        <f>IF(A657="", "", IF(E657="", "Pendente", IF(C657=G657, "OK", "Valor divergente")))</f>
        <v/>
      </c>
    </row>
    <row r="658">
      <c r="A658">
        <f>IF(NF!A656&lt;&gt;"", NF!A656, "")</f>
        <v/>
      </c>
      <c r="B658">
        <f>IF(A658&lt;&gt;"", NF!B656, "")</f>
        <v/>
      </c>
      <c r="C658">
        <f>IF(A658&lt;&gt;"", NF!C656, "")</f>
        <v/>
      </c>
      <c r="D658">
        <f>IF(A658&lt;&gt;"", NF!D656, "")</f>
        <v/>
      </c>
      <c r="E658">
        <f>IF(A658&lt;&gt;"", XLOOKUP(A658, Extrato!$D:$D, Extrato!$A:$A, ""), "")</f>
        <v/>
      </c>
      <c r="F658">
        <f>IF(A658&lt;&gt;"", XLOOKUP(A658, Extrato!$D:$D, Extrato!$B:$B, ""), "")</f>
        <v/>
      </c>
      <c r="G658">
        <f>IF(A658&lt;&gt;"", XLOOKUP(A658, Extrato!$D:$D, Extrato!$C:$C, ""), "")</f>
        <v/>
      </c>
      <c r="H658">
        <f>IF(A658="", "", IF(E658="", "Pendente", IF(C658=G658, "OK", "Valor divergente")))</f>
        <v/>
      </c>
    </row>
    <row r="659">
      <c r="A659">
        <f>IF(NF!A657&lt;&gt;"", NF!A657, "")</f>
        <v/>
      </c>
      <c r="B659">
        <f>IF(A659&lt;&gt;"", NF!B657, "")</f>
        <v/>
      </c>
      <c r="C659">
        <f>IF(A659&lt;&gt;"", NF!C657, "")</f>
        <v/>
      </c>
      <c r="D659">
        <f>IF(A659&lt;&gt;"", NF!D657, "")</f>
        <v/>
      </c>
      <c r="E659">
        <f>IF(A659&lt;&gt;"", XLOOKUP(A659, Extrato!$D:$D, Extrato!$A:$A, ""), "")</f>
        <v/>
      </c>
      <c r="F659">
        <f>IF(A659&lt;&gt;"", XLOOKUP(A659, Extrato!$D:$D, Extrato!$B:$B, ""), "")</f>
        <v/>
      </c>
      <c r="G659">
        <f>IF(A659&lt;&gt;"", XLOOKUP(A659, Extrato!$D:$D, Extrato!$C:$C, ""), "")</f>
        <v/>
      </c>
      <c r="H659">
        <f>IF(A659="", "", IF(E659="", "Pendente", IF(C659=G659, "OK", "Valor divergente")))</f>
        <v/>
      </c>
    </row>
    <row r="660">
      <c r="A660">
        <f>IF(NF!A658&lt;&gt;"", NF!A658, "")</f>
        <v/>
      </c>
      <c r="B660">
        <f>IF(A660&lt;&gt;"", NF!B658, "")</f>
        <v/>
      </c>
      <c r="C660">
        <f>IF(A660&lt;&gt;"", NF!C658, "")</f>
        <v/>
      </c>
      <c r="D660">
        <f>IF(A660&lt;&gt;"", NF!D658, "")</f>
        <v/>
      </c>
      <c r="E660">
        <f>IF(A660&lt;&gt;"", XLOOKUP(A660, Extrato!$D:$D, Extrato!$A:$A, ""), "")</f>
        <v/>
      </c>
      <c r="F660">
        <f>IF(A660&lt;&gt;"", XLOOKUP(A660, Extrato!$D:$D, Extrato!$B:$B, ""), "")</f>
        <v/>
      </c>
      <c r="G660">
        <f>IF(A660&lt;&gt;"", XLOOKUP(A660, Extrato!$D:$D, Extrato!$C:$C, ""), "")</f>
        <v/>
      </c>
      <c r="H660">
        <f>IF(A660="", "", IF(E660="", "Pendente", IF(C660=G660, "OK", "Valor divergente")))</f>
        <v/>
      </c>
    </row>
    <row r="661">
      <c r="A661">
        <f>IF(NF!A659&lt;&gt;"", NF!A659, "")</f>
        <v/>
      </c>
      <c r="B661">
        <f>IF(A661&lt;&gt;"", NF!B659, "")</f>
        <v/>
      </c>
      <c r="C661">
        <f>IF(A661&lt;&gt;"", NF!C659, "")</f>
        <v/>
      </c>
      <c r="D661">
        <f>IF(A661&lt;&gt;"", NF!D659, "")</f>
        <v/>
      </c>
      <c r="E661">
        <f>IF(A661&lt;&gt;"", XLOOKUP(A661, Extrato!$D:$D, Extrato!$A:$A, ""), "")</f>
        <v/>
      </c>
      <c r="F661">
        <f>IF(A661&lt;&gt;"", XLOOKUP(A661, Extrato!$D:$D, Extrato!$B:$B, ""), "")</f>
        <v/>
      </c>
      <c r="G661">
        <f>IF(A661&lt;&gt;"", XLOOKUP(A661, Extrato!$D:$D, Extrato!$C:$C, ""), "")</f>
        <v/>
      </c>
      <c r="H661">
        <f>IF(A661="", "", IF(E661="", "Pendente", IF(C661=G661, "OK", "Valor divergente")))</f>
        <v/>
      </c>
    </row>
    <row r="662">
      <c r="A662">
        <f>IF(NF!A660&lt;&gt;"", NF!A660, "")</f>
        <v/>
      </c>
      <c r="B662">
        <f>IF(A662&lt;&gt;"", NF!B660, "")</f>
        <v/>
      </c>
      <c r="C662">
        <f>IF(A662&lt;&gt;"", NF!C660, "")</f>
        <v/>
      </c>
      <c r="D662">
        <f>IF(A662&lt;&gt;"", NF!D660, "")</f>
        <v/>
      </c>
      <c r="E662">
        <f>IF(A662&lt;&gt;"", XLOOKUP(A662, Extrato!$D:$D, Extrato!$A:$A, ""), "")</f>
        <v/>
      </c>
      <c r="F662">
        <f>IF(A662&lt;&gt;"", XLOOKUP(A662, Extrato!$D:$D, Extrato!$B:$B, ""), "")</f>
        <v/>
      </c>
      <c r="G662">
        <f>IF(A662&lt;&gt;"", XLOOKUP(A662, Extrato!$D:$D, Extrato!$C:$C, ""), "")</f>
        <v/>
      </c>
      <c r="H662">
        <f>IF(A662="", "", IF(E662="", "Pendente", IF(C662=G662, "OK", "Valor divergente")))</f>
        <v/>
      </c>
    </row>
    <row r="663">
      <c r="A663">
        <f>IF(NF!A661&lt;&gt;"", NF!A661, "")</f>
        <v/>
      </c>
      <c r="B663">
        <f>IF(A663&lt;&gt;"", NF!B661, "")</f>
        <v/>
      </c>
      <c r="C663">
        <f>IF(A663&lt;&gt;"", NF!C661, "")</f>
        <v/>
      </c>
      <c r="D663">
        <f>IF(A663&lt;&gt;"", NF!D661, "")</f>
        <v/>
      </c>
      <c r="E663">
        <f>IF(A663&lt;&gt;"", XLOOKUP(A663, Extrato!$D:$D, Extrato!$A:$A, ""), "")</f>
        <v/>
      </c>
      <c r="F663">
        <f>IF(A663&lt;&gt;"", XLOOKUP(A663, Extrato!$D:$D, Extrato!$B:$B, ""), "")</f>
        <v/>
      </c>
      <c r="G663">
        <f>IF(A663&lt;&gt;"", XLOOKUP(A663, Extrato!$D:$D, Extrato!$C:$C, ""), "")</f>
        <v/>
      </c>
      <c r="H663">
        <f>IF(A663="", "", IF(E663="", "Pendente", IF(C663=G663, "OK", "Valor divergente")))</f>
        <v/>
      </c>
    </row>
    <row r="664">
      <c r="A664">
        <f>IF(NF!A662&lt;&gt;"", NF!A662, "")</f>
        <v/>
      </c>
      <c r="B664">
        <f>IF(A664&lt;&gt;"", NF!B662, "")</f>
        <v/>
      </c>
      <c r="C664">
        <f>IF(A664&lt;&gt;"", NF!C662, "")</f>
        <v/>
      </c>
      <c r="D664">
        <f>IF(A664&lt;&gt;"", NF!D662, "")</f>
        <v/>
      </c>
      <c r="E664">
        <f>IF(A664&lt;&gt;"", XLOOKUP(A664, Extrato!$D:$D, Extrato!$A:$A, ""), "")</f>
        <v/>
      </c>
      <c r="F664">
        <f>IF(A664&lt;&gt;"", XLOOKUP(A664, Extrato!$D:$D, Extrato!$B:$B, ""), "")</f>
        <v/>
      </c>
      <c r="G664">
        <f>IF(A664&lt;&gt;"", XLOOKUP(A664, Extrato!$D:$D, Extrato!$C:$C, ""), "")</f>
        <v/>
      </c>
      <c r="H664">
        <f>IF(A664="", "", IF(E664="", "Pendente", IF(C664=G664, "OK", "Valor divergente")))</f>
        <v/>
      </c>
    </row>
    <row r="665">
      <c r="A665">
        <f>IF(NF!A663&lt;&gt;"", NF!A663, "")</f>
        <v/>
      </c>
      <c r="B665">
        <f>IF(A665&lt;&gt;"", NF!B663, "")</f>
        <v/>
      </c>
      <c r="C665">
        <f>IF(A665&lt;&gt;"", NF!C663, "")</f>
        <v/>
      </c>
      <c r="D665">
        <f>IF(A665&lt;&gt;"", NF!D663, "")</f>
        <v/>
      </c>
      <c r="E665">
        <f>IF(A665&lt;&gt;"", XLOOKUP(A665, Extrato!$D:$D, Extrato!$A:$A, ""), "")</f>
        <v/>
      </c>
      <c r="F665">
        <f>IF(A665&lt;&gt;"", XLOOKUP(A665, Extrato!$D:$D, Extrato!$B:$B, ""), "")</f>
        <v/>
      </c>
      <c r="G665">
        <f>IF(A665&lt;&gt;"", XLOOKUP(A665, Extrato!$D:$D, Extrato!$C:$C, ""), "")</f>
        <v/>
      </c>
      <c r="H665">
        <f>IF(A665="", "", IF(E665="", "Pendente", IF(C665=G665, "OK", "Valor divergente")))</f>
        <v/>
      </c>
    </row>
    <row r="666">
      <c r="A666">
        <f>IF(NF!A664&lt;&gt;"", NF!A664, "")</f>
        <v/>
      </c>
      <c r="B666">
        <f>IF(A666&lt;&gt;"", NF!B664, "")</f>
        <v/>
      </c>
      <c r="C666">
        <f>IF(A666&lt;&gt;"", NF!C664, "")</f>
        <v/>
      </c>
      <c r="D666">
        <f>IF(A666&lt;&gt;"", NF!D664, "")</f>
        <v/>
      </c>
      <c r="E666">
        <f>IF(A666&lt;&gt;"", XLOOKUP(A666, Extrato!$D:$D, Extrato!$A:$A, ""), "")</f>
        <v/>
      </c>
      <c r="F666">
        <f>IF(A666&lt;&gt;"", XLOOKUP(A666, Extrato!$D:$D, Extrato!$B:$B, ""), "")</f>
        <v/>
      </c>
      <c r="G666">
        <f>IF(A666&lt;&gt;"", XLOOKUP(A666, Extrato!$D:$D, Extrato!$C:$C, ""), "")</f>
        <v/>
      </c>
      <c r="H666">
        <f>IF(A666="", "", IF(E666="", "Pendente", IF(C666=G666, "OK", "Valor divergente")))</f>
        <v/>
      </c>
    </row>
    <row r="667">
      <c r="A667">
        <f>IF(NF!A665&lt;&gt;"", NF!A665, "")</f>
        <v/>
      </c>
      <c r="B667">
        <f>IF(A667&lt;&gt;"", NF!B665, "")</f>
        <v/>
      </c>
      <c r="C667">
        <f>IF(A667&lt;&gt;"", NF!C665, "")</f>
        <v/>
      </c>
      <c r="D667">
        <f>IF(A667&lt;&gt;"", NF!D665, "")</f>
        <v/>
      </c>
      <c r="E667">
        <f>IF(A667&lt;&gt;"", XLOOKUP(A667, Extrato!$D:$D, Extrato!$A:$A, ""), "")</f>
        <v/>
      </c>
      <c r="F667">
        <f>IF(A667&lt;&gt;"", XLOOKUP(A667, Extrato!$D:$D, Extrato!$B:$B, ""), "")</f>
        <v/>
      </c>
      <c r="G667">
        <f>IF(A667&lt;&gt;"", XLOOKUP(A667, Extrato!$D:$D, Extrato!$C:$C, ""), "")</f>
        <v/>
      </c>
      <c r="H667">
        <f>IF(A667="", "", IF(E667="", "Pendente", IF(C667=G667, "OK", "Valor divergente")))</f>
        <v/>
      </c>
    </row>
    <row r="668">
      <c r="A668">
        <f>IF(NF!A666&lt;&gt;"", NF!A666, "")</f>
        <v/>
      </c>
      <c r="B668">
        <f>IF(A668&lt;&gt;"", NF!B666, "")</f>
        <v/>
      </c>
      <c r="C668">
        <f>IF(A668&lt;&gt;"", NF!C666, "")</f>
        <v/>
      </c>
      <c r="D668">
        <f>IF(A668&lt;&gt;"", NF!D666, "")</f>
        <v/>
      </c>
      <c r="E668">
        <f>IF(A668&lt;&gt;"", XLOOKUP(A668, Extrato!$D:$D, Extrato!$A:$A, ""), "")</f>
        <v/>
      </c>
      <c r="F668">
        <f>IF(A668&lt;&gt;"", XLOOKUP(A668, Extrato!$D:$D, Extrato!$B:$B, ""), "")</f>
        <v/>
      </c>
      <c r="G668">
        <f>IF(A668&lt;&gt;"", XLOOKUP(A668, Extrato!$D:$D, Extrato!$C:$C, ""), "")</f>
        <v/>
      </c>
      <c r="H668">
        <f>IF(A668="", "", IF(E668="", "Pendente", IF(C668=G668, "OK", "Valor divergente")))</f>
        <v/>
      </c>
    </row>
    <row r="669">
      <c r="A669">
        <f>IF(NF!A667&lt;&gt;"", NF!A667, "")</f>
        <v/>
      </c>
      <c r="B669">
        <f>IF(A669&lt;&gt;"", NF!B667, "")</f>
        <v/>
      </c>
      <c r="C669">
        <f>IF(A669&lt;&gt;"", NF!C667, "")</f>
        <v/>
      </c>
      <c r="D669">
        <f>IF(A669&lt;&gt;"", NF!D667, "")</f>
        <v/>
      </c>
      <c r="E669">
        <f>IF(A669&lt;&gt;"", XLOOKUP(A669, Extrato!$D:$D, Extrato!$A:$A, ""), "")</f>
        <v/>
      </c>
      <c r="F669">
        <f>IF(A669&lt;&gt;"", XLOOKUP(A669, Extrato!$D:$D, Extrato!$B:$B, ""), "")</f>
        <v/>
      </c>
      <c r="G669">
        <f>IF(A669&lt;&gt;"", XLOOKUP(A669, Extrato!$D:$D, Extrato!$C:$C, ""), "")</f>
        <v/>
      </c>
      <c r="H669">
        <f>IF(A669="", "", IF(E669="", "Pendente", IF(C669=G669, "OK", "Valor divergente")))</f>
        <v/>
      </c>
    </row>
    <row r="670">
      <c r="A670">
        <f>IF(NF!A668&lt;&gt;"", NF!A668, "")</f>
        <v/>
      </c>
      <c r="B670">
        <f>IF(A670&lt;&gt;"", NF!B668, "")</f>
        <v/>
      </c>
      <c r="C670">
        <f>IF(A670&lt;&gt;"", NF!C668, "")</f>
        <v/>
      </c>
      <c r="D670">
        <f>IF(A670&lt;&gt;"", NF!D668, "")</f>
        <v/>
      </c>
      <c r="E670">
        <f>IF(A670&lt;&gt;"", XLOOKUP(A670, Extrato!$D:$D, Extrato!$A:$A, ""), "")</f>
        <v/>
      </c>
      <c r="F670">
        <f>IF(A670&lt;&gt;"", XLOOKUP(A670, Extrato!$D:$D, Extrato!$B:$B, ""), "")</f>
        <v/>
      </c>
      <c r="G670">
        <f>IF(A670&lt;&gt;"", XLOOKUP(A670, Extrato!$D:$D, Extrato!$C:$C, ""), "")</f>
        <v/>
      </c>
      <c r="H670">
        <f>IF(A670="", "", IF(E670="", "Pendente", IF(C670=G670, "OK", "Valor divergente")))</f>
        <v/>
      </c>
    </row>
    <row r="671">
      <c r="A671">
        <f>IF(NF!A669&lt;&gt;"", NF!A669, "")</f>
        <v/>
      </c>
      <c r="B671">
        <f>IF(A671&lt;&gt;"", NF!B669, "")</f>
        <v/>
      </c>
      <c r="C671">
        <f>IF(A671&lt;&gt;"", NF!C669, "")</f>
        <v/>
      </c>
      <c r="D671">
        <f>IF(A671&lt;&gt;"", NF!D669, "")</f>
        <v/>
      </c>
      <c r="E671">
        <f>IF(A671&lt;&gt;"", XLOOKUP(A671, Extrato!$D:$D, Extrato!$A:$A, ""), "")</f>
        <v/>
      </c>
      <c r="F671">
        <f>IF(A671&lt;&gt;"", XLOOKUP(A671, Extrato!$D:$D, Extrato!$B:$B, ""), "")</f>
        <v/>
      </c>
      <c r="G671">
        <f>IF(A671&lt;&gt;"", XLOOKUP(A671, Extrato!$D:$D, Extrato!$C:$C, ""), "")</f>
        <v/>
      </c>
      <c r="H671">
        <f>IF(A671="", "", IF(E671="", "Pendente", IF(C671=G671, "OK", "Valor divergente")))</f>
        <v/>
      </c>
    </row>
    <row r="672">
      <c r="A672">
        <f>IF(NF!A670&lt;&gt;"", NF!A670, "")</f>
        <v/>
      </c>
      <c r="B672">
        <f>IF(A672&lt;&gt;"", NF!B670, "")</f>
        <v/>
      </c>
      <c r="C672">
        <f>IF(A672&lt;&gt;"", NF!C670, "")</f>
        <v/>
      </c>
      <c r="D672">
        <f>IF(A672&lt;&gt;"", NF!D670, "")</f>
        <v/>
      </c>
      <c r="E672">
        <f>IF(A672&lt;&gt;"", XLOOKUP(A672, Extrato!$D:$D, Extrato!$A:$A, ""), "")</f>
        <v/>
      </c>
      <c r="F672">
        <f>IF(A672&lt;&gt;"", XLOOKUP(A672, Extrato!$D:$D, Extrato!$B:$B, ""), "")</f>
        <v/>
      </c>
      <c r="G672">
        <f>IF(A672&lt;&gt;"", XLOOKUP(A672, Extrato!$D:$D, Extrato!$C:$C, ""), "")</f>
        <v/>
      </c>
      <c r="H672">
        <f>IF(A672="", "", IF(E672="", "Pendente", IF(C672=G672, "OK", "Valor divergente")))</f>
        <v/>
      </c>
    </row>
    <row r="673">
      <c r="A673">
        <f>IF(NF!A671&lt;&gt;"", NF!A671, "")</f>
        <v/>
      </c>
      <c r="B673">
        <f>IF(A673&lt;&gt;"", NF!B671, "")</f>
        <v/>
      </c>
      <c r="C673">
        <f>IF(A673&lt;&gt;"", NF!C671, "")</f>
        <v/>
      </c>
      <c r="D673">
        <f>IF(A673&lt;&gt;"", NF!D671, "")</f>
        <v/>
      </c>
      <c r="E673">
        <f>IF(A673&lt;&gt;"", XLOOKUP(A673, Extrato!$D:$D, Extrato!$A:$A, ""), "")</f>
        <v/>
      </c>
      <c r="F673">
        <f>IF(A673&lt;&gt;"", XLOOKUP(A673, Extrato!$D:$D, Extrato!$B:$B, ""), "")</f>
        <v/>
      </c>
      <c r="G673">
        <f>IF(A673&lt;&gt;"", XLOOKUP(A673, Extrato!$D:$D, Extrato!$C:$C, ""), "")</f>
        <v/>
      </c>
      <c r="H673">
        <f>IF(A673="", "", IF(E673="", "Pendente", IF(C673=G673, "OK", "Valor divergente")))</f>
        <v/>
      </c>
    </row>
    <row r="674">
      <c r="A674">
        <f>IF(NF!A672&lt;&gt;"", NF!A672, "")</f>
        <v/>
      </c>
      <c r="B674">
        <f>IF(A674&lt;&gt;"", NF!B672, "")</f>
        <v/>
      </c>
      <c r="C674">
        <f>IF(A674&lt;&gt;"", NF!C672, "")</f>
        <v/>
      </c>
      <c r="D674">
        <f>IF(A674&lt;&gt;"", NF!D672, "")</f>
        <v/>
      </c>
      <c r="E674">
        <f>IF(A674&lt;&gt;"", XLOOKUP(A674, Extrato!$D:$D, Extrato!$A:$A, ""), "")</f>
        <v/>
      </c>
      <c r="F674">
        <f>IF(A674&lt;&gt;"", XLOOKUP(A674, Extrato!$D:$D, Extrato!$B:$B, ""), "")</f>
        <v/>
      </c>
      <c r="G674">
        <f>IF(A674&lt;&gt;"", XLOOKUP(A674, Extrato!$D:$D, Extrato!$C:$C, ""), "")</f>
        <v/>
      </c>
      <c r="H674">
        <f>IF(A674="", "", IF(E674="", "Pendente", IF(C674=G674, "OK", "Valor divergente")))</f>
        <v/>
      </c>
    </row>
    <row r="675">
      <c r="A675">
        <f>IF(NF!A673&lt;&gt;"", NF!A673, "")</f>
        <v/>
      </c>
      <c r="B675">
        <f>IF(A675&lt;&gt;"", NF!B673, "")</f>
        <v/>
      </c>
      <c r="C675">
        <f>IF(A675&lt;&gt;"", NF!C673, "")</f>
        <v/>
      </c>
      <c r="D675">
        <f>IF(A675&lt;&gt;"", NF!D673, "")</f>
        <v/>
      </c>
      <c r="E675">
        <f>IF(A675&lt;&gt;"", XLOOKUP(A675, Extrato!$D:$D, Extrato!$A:$A, ""), "")</f>
        <v/>
      </c>
      <c r="F675">
        <f>IF(A675&lt;&gt;"", XLOOKUP(A675, Extrato!$D:$D, Extrato!$B:$B, ""), "")</f>
        <v/>
      </c>
      <c r="G675">
        <f>IF(A675&lt;&gt;"", XLOOKUP(A675, Extrato!$D:$D, Extrato!$C:$C, ""), "")</f>
        <v/>
      </c>
      <c r="H675">
        <f>IF(A675="", "", IF(E675="", "Pendente", IF(C675=G675, "OK", "Valor divergente")))</f>
        <v/>
      </c>
    </row>
    <row r="676">
      <c r="A676">
        <f>IF(NF!A674&lt;&gt;"", NF!A674, "")</f>
        <v/>
      </c>
      <c r="B676">
        <f>IF(A676&lt;&gt;"", NF!B674, "")</f>
        <v/>
      </c>
      <c r="C676">
        <f>IF(A676&lt;&gt;"", NF!C674, "")</f>
        <v/>
      </c>
      <c r="D676">
        <f>IF(A676&lt;&gt;"", NF!D674, "")</f>
        <v/>
      </c>
      <c r="E676">
        <f>IF(A676&lt;&gt;"", XLOOKUP(A676, Extrato!$D:$D, Extrato!$A:$A, ""), "")</f>
        <v/>
      </c>
      <c r="F676">
        <f>IF(A676&lt;&gt;"", XLOOKUP(A676, Extrato!$D:$D, Extrato!$B:$B, ""), "")</f>
        <v/>
      </c>
      <c r="G676">
        <f>IF(A676&lt;&gt;"", XLOOKUP(A676, Extrato!$D:$D, Extrato!$C:$C, ""), "")</f>
        <v/>
      </c>
      <c r="H676">
        <f>IF(A676="", "", IF(E676="", "Pendente", IF(C676=G676, "OK", "Valor divergente")))</f>
        <v/>
      </c>
    </row>
    <row r="677">
      <c r="A677">
        <f>IF(NF!A675&lt;&gt;"", NF!A675, "")</f>
        <v/>
      </c>
      <c r="B677">
        <f>IF(A677&lt;&gt;"", NF!B675, "")</f>
        <v/>
      </c>
      <c r="C677">
        <f>IF(A677&lt;&gt;"", NF!C675, "")</f>
        <v/>
      </c>
      <c r="D677">
        <f>IF(A677&lt;&gt;"", NF!D675, "")</f>
        <v/>
      </c>
      <c r="E677">
        <f>IF(A677&lt;&gt;"", XLOOKUP(A677, Extrato!$D:$D, Extrato!$A:$A, ""), "")</f>
        <v/>
      </c>
      <c r="F677">
        <f>IF(A677&lt;&gt;"", XLOOKUP(A677, Extrato!$D:$D, Extrato!$B:$B, ""), "")</f>
        <v/>
      </c>
      <c r="G677">
        <f>IF(A677&lt;&gt;"", XLOOKUP(A677, Extrato!$D:$D, Extrato!$C:$C, ""), "")</f>
        <v/>
      </c>
      <c r="H677">
        <f>IF(A677="", "", IF(E677="", "Pendente", IF(C677=G677, "OK", "Valor divergente")))</f>
        <v/>
      </c>
    </row>
    <row r="678">
      <c r="A678">
        <f>IF(NF!A676&lt;&gt;"", NF!A676, "")</f>
        <v/>
      </c>
      <c r="B678">
        <f>IF(A678&lt;&gt;"", NF!B676, "")</f>
        <v/>
      </c>
      <c r="C678">
        <f>IF(A678&lt;&gt;"", NF!C676, "")</f>
        <v/>
      </c>
      <c r="D678">
        <f>IF(A678&lt;&gt;"", NF!D676, "")</f>
        <v/>
      </c>
      <c r="E678">
        <f>IF(A678&lt;&gt;"", XLOOKUP(A678, Extrato!$D:$D, Extrato!$A:$A, ""), "")</f>
        <v/>
      </c>
      <c r="F678">
        <f>IF(A678&lt;&gt;"", XLOOKUP(A678, Extrato!$D:$D, Extrato!$B:$B, ""), "")</f>
        <v/>
      </c>
      <c r="G678">
        <f>IF(A678&lt;&gt;"", XLOOKUP(A678, Extrato!$D:$D, Extrato!$C:$C, ""), "")</f>
        <v/>
      </c>
      <c r="H678">
        <f>IF(A678="", "", IF(E678="", "Pendente", IF(C678=G678, "OK", "Valor divergente")))</f>
        <v/>
      </c>
    </row>
    <row r="679">
      <c r="A679">
        <f>IF(NF!A677&lt;&gt;"", NF!A677, "")</f>
        <v/>
      </c>
      <c r="B679">
        <f>IF(A679&lt;&gt;"", NF!B677, "")</f>
        <v/>
      </c>
      <c r="C679">
        <f>IF(A679&lt;&gt;"", NF!C677, "")</f>
        <v/>
      </c>
      <c r="D679">
        <f>IF(A679&lt;&gt;"", NF!D677, "")</f>
        <v/>
      </c>
      <c r="E679">
        <f>IF(A679&lt;&gt;"", XLOOKUP(A679, Extrato!$D:$D, Extrato!$A:$A, ""), "")</f>
        <v/>
      </c>
      <c r="F679">
        <f>IF(A679&lt;&gt;"", XLOOKUP(A679, Extrato!$D:$D, Extrato!$B:$B, ""), "")</f>
        <v/>
      </c>
      <c r="G679">
        <f>IF(A679&lt;&gt;"", XLOOKUP(A679, Extrato!$D:$D, Extrato!$C:$C, ""), "")</f>
        <v/>
      </c>
      <c r="H679">
        <f>IF(A679="", "", IF(E679="", "Pendente", IF(C679=G679, "OK", "Valor divergente")))</f>
        <v/>
      </c>
    </row>
    <row r="680">
      <c r="A680">
        <f>IF(NF!A678&lt;&gt;"", NF!A678, "")</f>
        <v/>
      </c>
      <c r="B680">
        <f>IF(A680&lt;&gt;"", NF!B678, "")</f>
        <v/>
      </c>
      <c r="C680">
        <f>IF(A680&lt;&gt;"", NF!C678, "")</f>
        <v/>
      </c>
      <c r="D680">
        <f>IF(A680&lt;&gt;"", NF!D678, "")</f>
        <v/>
      </c>
      <c r="E680">
        <f>IF(A680&lt;&gt;"", XLOOKUP(A680, Extrato!$D:$D, Extrato!$A:$A, ""), "")</f>
        <v/>
      </c>
      <c r="F680">
        <f>IF(A680&lt;&gt;"", XLOOKUP(A680, Extrato!$D:$D, Extrato!$B:$B, ""), "")</f>
        <v/>
      </c>
      <c r="G680">
        <f>IF(A680&lt;&gt;"", XLOOKUP(A680, Extrato!$D:$D, Extrato!$C:$C, ""), "")</f>
        <v/>
      </c>
      <c r="H680">
        <f>IF(A680="", "", IF(E680="", "Pendente", IF(C680=G680, "OK", "Valor divergente")))</f>
        <v/>
      </c>
    </row>
    <row r="681">
      <c r="A681">
        <f>IF(NF!A679&lt;&gt;"", NF!A679, "")</f>
        <v/>
      </c>
      <c r="B681">
        <f>IF(A681&lt;&gt;"", NF!B679, "")</f>
        <v/>
      </c>
      <c r="C681">
        <f>IF(A681&lt;&gt;"", NF!C679, "")</f>
        <v/>
      </c>
      <c r="D681">
        <f>IF(A681&lt;&gt;"", NF!D679, "")</f>
        <v/>
      </c>
      <c r="E681">
        <f>IF(A681&lt;&gt;"", XLOOKUP(A681, Extrato!$D:$D, Extrato!$A:$A, ""), "")</f>
        <v/>
      </c>
      <c r="F681">
        <f>IF(A681&lt;&gt;"", XLOOKUP(A681, Extrato!$D:$D, Extrato!$B:$B, ""), "")</f>
        <v/>
      </c>
      <c r="G681">
        <f>IF(A681&lt;&gt;"", XLOOKUP(A681, Extrato!$D:$D, Extrato!$C:$C, ""), "")</f>
        <v/>
      </c>
      <c r="H681">
        <f>IF(A681="", "", IF(E681="", "Pendente", IF(C681=G681, "OK", "Valor divergente")))</f>
        <v/>
      </c>
    </row>
    <row r="682">
      <c r="A682">
        <f>IF(NF!A680&lt;&gt;"", NF!A680, "")</f>
        <v/>
      </c>
      <c r="B682">
        <f>IF(A682&lt;&gt;"", NF!B680, "")</f>
        <v/>
      </c>
      <c r="C682">
        <f>IF(A682&lt;&gt;"", NF!C680, "")</f>
        <v/>
      </c>
      <c r="D682">
        <f>IF(A682&lt;&gt;"", NF!D680, "")</f>
        <v/>
      </c>
      <c r="E682">
        <f>IF(A682&lt;&gt;"", XLOOKUP(A682, Extrato!$D:$D, Extrato!$A:$A, ""), "")</f>
        <v/>
      </c>
      <c r="F682">
        <f>IF(A682&lt;&gt;"", XLOOKUP(A682, Extrato!$D:$D, Extrato!$B:$B, ""), "")</f>
        <v/>
      </c>
      <c r="G682">
        <f>IF(A682&lt;&gt;"", XLOOKUP(A682, Extrato!$D:$D, Extrato!$C:$C, ""), "")</f>
        <v/>
      </c>
      <c r="H682">
        <f>IF(A682="", "", IF(E682="", "Pendente", IF(C682=G682, "OK", "Valor divergente")))</f>
        <v/>
      </c>
    </row>
    <row r="683">
      <c r="A683">
        <f>IF(NF!A681&lt;&gt;"", NF!A681, "")</f>
        <v/>
      </c>
      <c r="B683">
        <f>IF(A683&lt;&gt;"", NF!B681, "")</f>
        <v/>
      </c>
      <c r="C683">
        <f>IF(A683&lt;&gt;"", NF!C681, "")</f>
        <v/>
      </c>
      <c r="D683">
        <f>IF(A683&lt;&gt;"", NF!D681, "")</f>
        <v/>
      </c>
      <c r="E683">
        <f>IF(A683&lt;&gt;"", XLOOKUP(A683, Extrato!$D:$D, Extrato!$A:$A, ""), "")</f>
        <v/>
      </c>
      <c r="F683">
        <f>IF(A683&lt;&gt;"", XLOOKUP(A683, Extrato!$D:$D, Extrato!$B:$B, ""), "")</f>
        <v/>
      </c>
      <c r="G683">
        <f>IF(A683&lt;&gt;"", XLOOKUP(A683, Extrato!$D:$D, Extrato!$C:$C, ""), "")</f>
        <v/>
      </c>
      <c r="H683">
        <f>IF(A683="", "", IF(E683="", "Pendente", IF(C683=G683, "OK", "Valor divergente")))</f>
        <v/>
      </c>
    </row>
    <row r="684">
      <c r="A684">
        <f>IF(NF!A682&lt;&gt;"", NF!A682, "")</f>
        <v/>
      </c>
      <c r="B684">
        <f>IF(A684&lt;&gt;"", NF!B682, "")</f>
        <v/>
      </c>
      <c r="C684">
        <f>IF(A684&lt;&gt;"", NF!C682, "")</f>
        <v/>
      </c>
      <c r="D684">
        <f>IF(A684&lt;&gt;"", NF!D682, "")</f>
        <v/>
      </c>
      <c r="E684">
        <f>IF(A684&lt;&gt;"", XLOOKUP(A684, Extrato!$D:$D, Extrato!$A:$A, ""), "")</f>
        <v/>
      </c>
      <c r="F684">
        <f>IF(A684&lt;&gt;"", XLOOKUP(A684, Extrato!$D:$D, Extrato!$B:$B, ""), "")</f>
        <v/>
      </c>
      <c r="G684">
        <f>IF(A684&lt;&gt;"", XLOOKUP(A684, Extrato!$D:$D, Extrato!$C:$C, ""), "")</f>
        <v/>
      </c>
      <c r="H684">
        <f>IF(A684="", "", IF(E684="", "Pendente", IF(C684=G684, "OK", "Valor divergente")))</f>
        <v/>
      </c>
    </row>
    <row r="685">
      <c r="A685">
        <f>IF(NF!A683&lt;&gt;"", NF!A683, "")</f>
        <v/>
      </c>
      <c r="B685">
        <f>IF(A685&lt;&gt;"", NF!B683, "")</f>
        <v/>
      </c>
      <c r="C685">
        <f>IF(A685&lt;&gt;"", NF!C683, "")</f>
        <v/>
      </c>
      <c r="D685">
        <f>IF(A685&lt;&gt;"", NF!D683, "")</f>
        <v/>
      </c>
      <c r="E685">
        <f>IF(A685&lt;&gt;"", XLOOKUP(A685, Extrato!$D:$D, Extrato!$A:$A, ""), "")</f>
        <v/>
      </c>
      <c r="F685">
        <f>IF(A685&lt;&gt;"", XLOOKUP(A685, Extrato!$D:$D, Extrato!$B:$B, ""), "")</f>
        <v/>
      </c>
      <c r="G685">
        <f>IF(A685&lt;&gt;"", XLOOKUP(A685, Extrato!$D:$D, Extrato!$C:$C, ""), "")</f>
        <v/>
      </c>
      <c r="H685">
        <f>IF(A685="", "", IF(E685="", "Pendente", IF(C685=G685, "OK", "Valor divergente")))</f>
        <v/>
      </c>
    </row>
    <row r="686">
      <c r="A686">
        <f>IF(NF!A684&lt;&gt;"", NF!A684, "")</f>
        <v/>
      </c>
      <c r="B686">
        <f>IF(A686&lt;&gt;"", NF!B684, "")</f>
        <v/>
      </c>
      <c r="C686">
        <f>IF(A686&lt;&gt;"", NF!C684, "")</f>
        <v/>
      </c>
      <c r="D686">
        <f>IF(A686&lt;&gt;"", NF!D684, "")</f>
        <v/>
      </c>
      <c r="E686">
        <f>IF(A686&lt;&gt;"", XLOOKUP(A686, Extrato!$D:$D, Extrato!$A:$A, ""), "")</f>
        <v/>
      </c>
      <c r="F686">
        <f>IF(A686&lt;&gt;"", XLOOKUP(A686, Extrato!$D:$D, Extrato!$B:$B, ""), "")</f>
        <v/>
      </c>
      <c r="G686">
        <f>IF(A686&lt;&gt;"", XLOOKUP(A686, Extrato!$D:$D, Extrato!$C:$C, ""), "")</f>
        <v/>
      </c>
      <c r="H686">
        <f>IF(A686="", "", IF(E686="", "Pendente", IF(C686=G686, "OK", "Valor divergente")))</f>
        <v/>
      </c>
    </row>
    <row r="687">
      <c r="A687">
        <f>IF(NF!A685&lt;&gt;"", NF!A685, "")</f>
        <v/>
      </c>
      <c r="B687">
        <f>IF(A687&lt;&gt;"", NF!B685, "")</f>
        <v/>
      </c>
      <c r="C687">
        <f>IF(A687&lt;&gt;"", NF!C685, "")</f>
        <v/>
      </c>
      <c r="D687">
        <f>IF(A687&lt;&gt;"", NF!D685, "")</f>
        <v/>
      </c>
      <c r="E687">
        <f>IF(A687&lt;&gt;"", XLOOKUP(A687, Extrato!$D:$D, Extrato!$A:$A, ""), "")</f>
        <v/>
      </c>
      <c r="F687">
        <f>IF(A687&lt;&gt;"", XLOOKUP(A687, Extrato!$D:$D, Extrato!$B:$B, ""), "")</f>
        <v/>
      </c>
      <c r="G687">
        <f>IF(A687&lt;&gt;"", XLOOKUP(A687, Extrato!$D:$D, Extrato!$C:$C, ""), "")</f>
        <v/>
      </c>
      <c r="H687">
        <f>IF(A687="", "", IF(E687="", "Pendente", IF(C687=G687, "OK", "Valor divergente")))</f>
        <v/>
      </c>
    </row>
    <row r="688">
      <c r="A688">
        <f>IF(NF!A686&lt;&gt;"", NF!A686, "")</f>
        <v/>
      </c>
      <c r="B688">
        <f>IF(A688&lt;&gt;"", NF!B686, "")</f>
        <v/>
      </c>
      <c r="C688">
        <f>IF(A688&lt;&gt;"", NF!C686, "")</f>
        <v/>
      </c>
      <c r="D688">
        <f>IF(A688&lt;&gt;"", NF!D686, "")</f>
        <v/>
      </c>
      <c r="E688">
        <f>IF(A688&lt;&gt;"", XLOOKUP(A688, Extrato!$D:$D, Extrato!$A:$A, ""), "")</f>
        <v/>
      </c>
      <c r="F688">
        <f>IF(A688&lt;&gt;"", XLOOKUP(A688, Extrato!$D:$D, Extrato!$B:$B, ""), "")</f>
        <v/>
      </c>
      <c r="G688">
        <f>IF(A688&lt;&gt;"", XLOOKUP(A688, Extrato!$D:$D, Extrato!$C:$C, ""), "")</f>
        <v/>
      </c>
      <c r="H688">
        <f>IF(A688="", "", IF(E688="", "Pendente", IF(C688=G688, "OK", "Valor divergente")))</f>
        <v/>
      </c>
    </row>
    <row r="689">
      <c r="A689">
        <f>IF(NF!A687&lt;&gt;"", NF!A687, "")</f>
        <v/>
      </c>
      <c r="B689">
        <f>IF(A689&lt;&gt;"", NF!B687, "")</f>
        <v/>
      </c>
      <c r="C689">
        <f>IF(A689&lt;&gt;"", NF!C687, "")</f>
        <v/>
      </c>
      <c r="D689">
        <f>IF(A689&lt;&gt;"", NF!D687, "")</f>
        <v/>
      </c>
      <c r="E689">
        <f>IF(A689&lt;&gt;"", XLOOKUP(A689, Extrato!$D:$D, Extrato!$A:$A, ""), "")</f>
        <v/>
      </c>
      <c r="F689">
        <f>IF(A689&lt;&gt;"", XLOOKUP(A689, Extrato!$D:$D, Extrato!$B:$B, ""), "")</f>
        <v/>
      </c>
      <c r="G689">
        <f>IF(A689&lt;&gt;"", XLOOKUP(A689, Extrato!$D:$D, Extrato!$C:$C, ""), "")</f>
        <v/>
      </c>
      <c r="H689">
        <f>IF(A689="", "", IF(E689="", "Pendente", IF(C689=G689, "OK", "Valor divergente")))</f>
        <v/>
      </c>
    </row>
    <row r="690">
      <c r="A690">
        <f>IF(NF!A688&lt;&gt;"", NF!A688, "")</f>
        <v/>
      </c>
      <c r="B690">
        <f>IF(A690&lt;&gt;"", NF!B688, "")</f>
        <v/>
      </c>
      <c r="C690">
        <f>IF(A690&lt;&gt;"", NF!C688, "")</f>
        <v/>
      </c>
      <c r="D690">
        <f>IF(A690&lt;&gt;"", NF!D688, "")</f>
        <v/>
      </c>
      <c r="E690">
        <f>IF(A690&lt;&gt;"", XLOOKUP(A690, Extrato!$D:$D, Extrato!$A:$A, ""), "")</f>
        <v/>
      </c>
      <c r="F690">
        <f>IF(A690&lt;&gt;"", XLOOKUP(A690, Extrato!$D:$D, Extrato!$B:$B, ""), "")</f>
        <v/>
      </c>
      <c r="G690">
        <f>IF(A690&lt;&gt;"", XLOOKUP(A690, Extrato!$D:$D, Extrato!$C:$C, ""), "")</f>
        <v/>
      </c>
      <c r="H690">
        <f>IF(A690="", "", IF(E690="", "Pendente", IF(C690=G690, "OK", "Valor divergente")))</f>
        <v/>
      </c>
    </row>
    <row r="691">
      <c r="A691">
        <f>IF(NF!A689&lt;&gt;"", NF!A689, "")</f>
        <v/>
      </c>
      <c r="B691">
        <f>IF(A691&lt;&gt;"", NF!B689, "")</f>
        <v/>
      </c>
      <c r="C691">
        <f>IF(A691&lt;&gt;"", NF!C689, "")</f>
        <v/>
      </c>
      <c r="D691">
        <f>IF(A691&lt;&gt;"", NF!D689, "")</f>
        <v/>
      </c>
      <c r="E691">
        <f>IF(A691&lt;&gt;"", XLOOKUP(A691, Extrato!$D:$D, Extrato!$A:$A, ""), "")</f>
        <v/>
      </c>
      <c r="F691">
        <f>IF(A691&lt;&gt;"", XLOOKUP(A691, Extrato!$D:$D, Extrato!$B:$B, ""), "")</f>
        <v/>
      </c>
      <c r="G691">
        <f>IF(A691&lt;&gt;"", XLOOKUP(A691, Extrato!$D:$D, Extrato!$C:$C, ""), "")</f>
        <v/>
      </c>
      <c r="H691">
        <f>IF(A691="", "", IF(E691="", "Pendente", IF(C691=G691, "OK", "Valor divergente")))</f>
        <v/>
      </c>
    </row>
    <row r="692">
      <c r="A692">
        <f>IF(NF!A690&lt;&gt;"", NF!A690, "")</f>
        <v/>
      </c>
      <c r="B692">
        <f>IF(A692&lt;&gt;"", NF!B690, "")</f>
        <v/>
      </c>
      <c r="C692">
        <f>IF(A692&lt;&gt;"", NF!C690, "")</f>
        <v/>
      </c>
      <c r="D692">
        <f>IF(A692&lt;&gt;"", NF!D690, "")</f>
        <v/>
      </c>
      <c r="E692">
        <f>IF(A692&lt;&gt;"", XLOOKUP(A692, Extrato!$D:$D, Extrato!$A:$A, ""), "")</f>
        <v/>
      </c>
      <c r="F692">
        <f>IF(A692&lt;&gt;"", XLOOKUP(A692, Extrato!$D:$D, Extrato!$B:$B, ""), "")</f>
        <v/>
      </c>
      <c r="G692">
        <f>IF(A692&lt;&gt;"", XLOOKUP(A692, Extrato!$D:$D, Extrato!$C:$C, ""), "")</f>
        <v/>
      </c>
      <c r="H692">
        <f>IF(A692="", "", IF(E692="", "Pendente", IF(C692=G692, "OK", "Valor divergente")))</f>
        <v/>
      </c>
    </row>
    <row r="693">
      <c r="A693">
        <f>IF(NF!A691&lt;&gt;"", NF!A691, "")</f>
        <v/>
      </c>
      <c r="B693">
        <f>IF(A693&lt;&gt;"", NF!B691, "")</f>
        <v/>
      </c>
      <c r="C693">
        <f>IF(A693&lt;&gt;"", NF!C691, "")</f>
        <v/>
      </c>
      <c r="D693">
        <f>IF(A693&lt;&gt;"", NF!D691, "")</f>
        <v/>
      </c>
      <c r="E693">
        <f>IF(A693&lt;&gt;"", XLOOKUP(A693, Extrato!$D:$D, Extrato!$A:$A, ""), "")</f>
        <v/>
      </c>
      <c r="F693">
        <f>IF(A693&lt;&gt;"", XLOOKUP(A693, Extrato!$D:$D, Extrato!$B:$B, ""), "")</f>
        <v/>
      </c>
      <c r="G693">
        <f>IF(A693&lt;&gt;"", XLOOKUP(A693, Extrato!$D:$D, Extrato!$C:$C, ""), "")</f>
        <v/>
      </c>
      <c r="H693">
        <f>IF(A693="", "", IF(E693="", "Pendente", IF(C693=G693, "OK", "Valor divergente")))</f>
        <v/>
      </c>
    </row>
    <row r="694">
      <c r="A694">
        <f>IF(NF!A692&lt;&gt;"", NF!A692, "")</f>
        <v/>
      </c>
      <c r="B694">
        <f>IF(A694&lt;&gt;"", NF!B692, "")</f>
        <v/>
      </c>
      <c r="C694">
        <f>IF(A694&lt;&gt;"", NF!C692, "")</f>
        <v/>
      </c>
      <c r="D694">
        <f>IF(A694&lt;&gt;"", NF!D692, "")</f>
        <v/>
      </c>
      <c r="E694">
        <f>IF(A694&lt;&gt;"", XLOOKUP(A694, Extrato!$D:$D, Extrato!$A:$A, ""), "")</f>
        <v/>
      </c>
      <c r="F694">
        <f>IF(A694&lt;&gt;"", XLOOKUP(A694, Extrato!$D:$D, Extrato!$B:$B, ""), "")</f>
        <v/>
      </c>
      <c r="G694">
        <f>IF(A694&lt;&gt;"", XLOOKUP(A694, Extrato!$D:$D, Extrato!$C:$C, ""), "")</f>
        <v/>
      </c>
      <c r="H694">
        <f>IF(A694="", "", IF(E694="", "Pendente", IF(C694=G694, "OK", "Valor divergente")))</f>
        <v/>
      </c>
    </row>
    <row r="695">
      <c r="A695">
        <f>IF(NF!A693&lt;&gt;"", NF!A693, "")</f>
        <v/>
      </c>
      <c r="B695">
        <f>IF(A695&lt;&gt;"", NF!B693, "")</f>
        <v/>
      </c>
      <c r="C695">
        <f>IF(A695&lt;&gt;"", NF!C693, "")</f>
        <v/>
      </c>
      <c r="D695">
        <f>IF(A695&lt;&gt;"", NF!D693, "")</f>
        <v/>
      </c>
      <c r="E695">
        <f>IF(A695&lt;&gt;"", XLOOKUP(A695, Extrato!$D:$D, Extrato!$A:$A, ""), "")</f>
        <v/>
      </c>
      <c r="F695">
        <f>IF(A695&lt;&gt;"", XLOOKUP(A695, Extrato!$D:$D, Extrato!$B:$B, ""), "")</f>
        <v/>
      </c>
      <c r="G695">
        <f>IF(A695&lt;&gt;"", XLOOKUP(A695, Extrato!$D:$D, Extrato!$C:$C, ""), "")</f>
        <v/>
      </c>
      <c r="H695">
        <f>IF(A695="", "", IF(E695="", "Pendente", IF(C695=G695, "OK", "Valor divergente")))</f>
        <v/>
      </c>
    </row>
    <row r="696">
      <c r="A696">
        <f>IF(NF!A694&lt;&gt;"", NF!A694, "")</f>
        <v/>
      </c>
      <c r="B696">
        <f>IF(A696&lt;&gt;"", NF!B694, "")</f>
        <v/>
      </c>
      <c r="C696">
        <f>IF(A696&lt;&gt;"", NF!C694, "")</f>
        <v/>
      </c>
      <c r="D696">
        <f>IF(A696&lt;&gt;"", NF!D694, "")</f>
        <v/>
      </c>
      <c r="E696">
        <f>IF(A696&lt;&gt;"", XLOOKUP(A696, Extrato!$D:$D, Extrato!$A:$A, ""), "")</f>
        <v/>
      </c>
      <c r="F696">
        <f>IF(A696&lt;&gt;"", XLOOKUP(A696, Extrato!$D:$D, Extrato!$B:$B, ""), "")</f>
        <v/>
      </c>
      <c r="G696">
        <f>IF(A696&lt;&gt;"", XLOOKUP(A696, Extrato!$D:$D, Extrato!$C:$C, ""), "")</f>
        <v/>
      </c>
      <c r="H696">
        <f>IF(A696="", "", IF(E696="", "Pendente", IF(C696=G696, "OK", "Valor divergente")))</f>
        <v/>
      </c>
    </row>
    <row r="697">
      <c r="A697">
        <f>IF(NF!A695&lt;&gt;"", NF!A695, "")</f>
        <v/>
      </c>
      <c r="B697">
        <f>IF(A697&lt;&gt;"", NF!B695, "")</f>
        <v/>
      </c>
      <c r="C697">
        <f>IF(A697&lt;&gt;"", NF!C695, "")</f>
        <v/>
      </c>
      <c r="D697">
        <f>IF(A697&lt;&gt;"", NF!D695, "")</f>
        <v/>
      </c>
      <c r="E697">
        <f>IF(A697&lt;&gt;"", XLOOKUP(A697, Extrato!$D:$D, Extrato!$A:$A, ""), "")</f>
        <v/>
      </c>
      <c r="F697">
        <f>IF(A697&lt;&gt;"", XLOOKUP(A697, Extrato!$D:$D, Extrato!$B:$B, ""), "")</f>
        <v/>
      </c>
      <c r="G697">
        <f>IF(A697&lt;&gt;"", XLOOKUP(A697, Extrato!$D:$D, Extrato!$C:$C, ""), "")</f>
        <v/>
      </c>
      <c r="H697">
        <f>IF(A697="", "", IF(E697="", "Pendente", IF(C697=G697, "OK", "Valor divergente")))</f>
        <v/>
      </c>
    </row>
    <row r="698">
      <c r="A698">
        <f>IF(NF!A696&lt;&gt;"", NF!A696, "")</f>
        <v/>
      </c>
      <c r="B698">
        <f>IF(A698&lt;&gt;"", NF!B696, "")</f>
        <v/>
      </c>
      <c r="C698">
        <f>IF(A698&lt;&gt;"", NF!C696, "")</f>
        <v/>
      </c>
      <c r="D698">
        <f>IF(A698&lt;&gt;"", NF!D696, "")</f>
        <v/>
      </c>
      <c r="E698">
        <f>IF(A698&lt;&gt;"", XLOOKUP(A698, Extrato!$D:$D, Extrato!$A:$A, ""), "")</f>
        <v/>
      </c>
      <c r="F698">
        <f>IF(A698&lt;&gt;"", XLOOKUP(A698, Extrato!$D:$D, Extrato!$B:$B, ""), "")</f>
        <v/>
      </c>
      <c r="G698">
        <f>IF(A698&lt;&gt;"", XLOOKUP(A698, Extrato!$D:$D, Extrato!$C:$C, ""), "")</f>
        <v/>
      </c>
      <c r="H698">
        <f>IF(A698="", "", IF(E698="", "Pendente", IF(C698=G698, "OK", "Valor divergente")))</f>
        <v/>
      </c>
    </row>
    <row r="699">
      <c r="A699">
        <f>IF(NF!A697&lt;&gt;"", NF!A697, "")</f>
        <v/>
      </c>
      <c r="B699">
        <f>IF(A699&lt;&gt;"", NF!B697, "")</f>
        <v/>
      </c>
      <c r="C699">
        <f>IF(A699&lt;&gt;"", NF!C697, "")</f>
        <v/>
      </c>
      <c r="D699">
        <f>IF(A699&lt;&gt;"", NF!D697, "")</f>
        <v/>
      </c>
      <c r="E699">
        <f>IF(A699&lt;&gt;"", XLOOKUP(A699, Extrato!$D:$D, Extrato!$A:$A, ""), "")</f>
        <v/>
      </c>
      <c r="F699">
        <f>IF(A699&lt;&gt;"", XLOOKUP(A699, Extrato!$D:$D, Extrato!$B:$B, ""), "")</f>
        <v/>
      </c>
      <c r="G699">
        <f>IF(A699&lt;&gt;"", XLOOKUP(A699, Extrato!$D:$D, Extrato!$C:$C, ""), "")</f>
        <v/>
      </c>
      <c r="H699">
        <f>IF(A699="", "", IF(E699="", "Pendente", IF(C699=G699, "OK", "Valor divergente")))</f>
        <v/>
      </c>
    </row>
    <row r="700">
      <c r="A700">
        <f>IF(NF!A698&lt;&gt;"", NF!A698, "")</f>
        <v/>
      </c>
      <c r="B700">
        <f>IF(A700&lt;&gt;"", NF!B698, "")</f>
        <v/>
      </c>
      <c r="C700">
        <f>IF(A700&lt;&gt;"", NF!C698, "")</f>
        <v/>
      </c>
      <c r="D700">
        <f>IF(A700&lt;&gt;"", NF!D698, "")</f>
        <v/>
      </c>
      <c r="E700">
        <f>IF(A700&lt;&gt;"", XLOOKUP(A700, Extrato!$D:$D, Extrato!$A:$A, ""), "")</f>
        <v/>
      </c>
      <c r="F700">
        <f>IF(A700&lt;&gt;"", XLOOKUP(A700, Extrato!$D:$D, Extrato!$B:$B, ""), "")</f>
        <v/>
      </c>
      <c r="G700">
        <f>IF(A700&lt;&gt;"", XLOOKUP(A700, Extrato!$D:$D, Extrato!$C:$C, ""), "")</f>
        <v/>
      </c>
      <c r="H700">
        <f>IF(A700="", "", IF(E700="", "Pendente", IF(C700=G700, "OK", "Valor divergente")))</f>
        <v/>
      </c>
    </row>
    <row r="701">
      <c r="A701">
        <f>IF(NF!A699&lt;&gt;"", NF!A699, "")</f>
        <v/>
      </c>
      <c r="B701">
        <f>IF(A701&lt;&gt;"", NF!B699, "")</f>
        <v/>
      </c>
      <c r="C701">
        <f>IF(A701&lt;&gt;"", NF!C699, "")</f>
        <v/>
      </c>
      <c r="D701">
        <f>IF(A701&lt;&gt;"", NF!D699, "")</f>
        <v/>
      </c>
      <c r="E701">
        <f>IF(A701&lt;&gt;"", XLOOKUP(A701, Extrato!$D:$D, Extrato!$A:$A, ""), "")</f>
        <v/>
      </c>
      <c r="F701">
        <f>IF(A701&lt;&gt;"", XLOOKUP(A701, Extrato!$D:$D, Extrato!$B:$B, ""), "")</f>
        <v/>
      </c>
      <c r="G701">
        <f>IF(A701&lt;&gt;"", XLOOKUP(A701, Extrato!$D:$D, Extrato!$C:$C, ""), "")</f>
        <v/>
      </c>
      <c r="H701">
        <f>IF(A701="", "", IF(E701="", "Pendente", IF(C701=G701, "OK", "Valor divergente")))</f>
        <v/>
      </c>
    </row>
    <row r="702">
      <c r="A702">
        <f>IF(NF!A700&lt;&gt;"", NF!A700, "")</f>
        <v/>
      </c>
      <c r="B702">
        <f>IF(A702&lt;&gt;"", NF!B700, "")</f>
        <v/>
      </c>
      <c r="C702">
        <f>IF(A702&lt;&gt;"", NF!C700, "")</f>
        <v/>
      </c>
      <c r="D702">
        <f>IF(A702&lt;&gt;"", NF!D700, "")</f>
        <v/>
      </c>
      <c r="E702">
        <f>IF(A702&lt;&gt;"", XLOOKUP(A702, Extrato!$D:$D, Extrato!$A:$A, ""), "")</f>
        <v/>
      </c>
      <c r="F702">
        <f>IF(A702&lt;&gt;"", XLOOKUP(A702, Extrato!$D:$D, Extrato!$B:$B, ""), "")</f>
        <v/>
      </c>
      <c r="G702">
        <f>IF(A702&lt;&gt;"", XLOOKUP(A702, Extrato!$D:$D, Extrato!$C:$C, ""), "")</f>
        <v/>
      </c>
      <c r="H702">
        <f>IF(A702="", "", IF(E702="", "Pendente", IF(C702=G702, "OK", "Valor divergente")))</f>
        <v/>
      </c>
    </row>
    <row r="703">
      <c r="A703">
        <f>IF(NF!A701&lt;&gt;"", NF!A701, "")</f>
        <v/>
      </c>
      <c r="B703">
        <f>IF(A703&lt;&gt;"", NF!B701, "")</f>
        <v/>
      </c>
      <c r="C703">
        <f>IF(A703&lt;&gt;"", NF!C701, "")</f>
        <v/>
      </c>
      <c r="D703">
        <f>IF(A703&lt;&gt;"", NF!D701, "")</f>
        <v/>
      </c>
      <c r="E703">
        <f>IF(A703&lt;&gt;"", XLOOKUP(A703, Extrato!$D:$D, Extrato!$A:$A, ""), "")</f>
        <v/>
      </c>
      <c r="F703">
        <f>IF(A703&lt;&gt;"", XLOOKUP(A703, Extrato!$D:$D, Extrato!$B:$B, ""), "")</f>
        <v/>
      </c>
      <c r="G703">
        <f>IF(A703&lt;&gt;"", XLOOKUP(A703, Extrato!$D:$D, Extrato!$C:$C, ""), "")</f>
        <v/>
      </c>
      <c r="H703">
        <f>IF(A703="", "", IF(E703="", "Pendente", IF(C703=G703, "OK", "Valor divergente")))</f>
        <v/>
      </c>
    </row>
    <row r="704">
      <c r="A704">
        <f>IF(NF!A702&lt;&gt;"", NF!A702, "")</f>
        <v/>
      </c>
      <c r="B704">
        <f>IF(A704&lt;&gt;"", NF!B702, "")</f>
        <v/>
      </c>
      <c r="C704">
        <f>IF(A704&lt;&gt;"", NF!C702, "")</f>
        <v/>
      </c>
      <c r="D704">
        <f>IF(A704&lt;&gt;"", NF!D702, "")</f>
        <v/>
      </c>
      <c r="E704">
        <f>IF(A704&lt;&gt;"", XLOOKUP(A704, Extrato!$D:$D, Extrato!$A:$A, ""), "")</f>
        <v/>
      </c>
      <c r="F704">
        <f>IF(A704&lt;&gt;"", XLOOKUP(A704, Extrato!$D:$D, Extrato!$B:$B, ""), "")</f>
        <v/>
      </c>
      <c r="G704">
        <f>IF(A704&lt;&gt;"", XLOOKUP(A704, Extrato!$D:$D, Extrato!$C:$C, ""), "")</f>
        <v/>
      </c>
      <c r="H704">
        <f>IF(A704="", "", IF(E704="", "Pendente", IF(C704=G704, "OK", "Valor divergente")))</f>
        <v/>
      </c>
    </row>
    <row r="705">
      <c r="A705">
        <f>IF(NF!A703&lt;&gt;"", NF!A703, "")</f>
        <v/>
      </c>
      <c r="B705">
        <f>IF(A705&lt;&gt;"", NF!B703, "")</f>
        <v/>
      </c>
      <c r="C705">
        <f>IF(A705&lt;&gt;"", NF!C703, "")</f>
        <v/>
      </c>
      <c r="D705">
        <f>IF(A705&lt;&gt;"", NF!D703, "")</f>
        <v/>
      </c>
      <c r="E705">
        <f>IF(A705&lt;&gt;"", XLOOKUP(A705, Extrato!$D:$D, Extrato!$A:$A, ""), "")</f>
        <v/>
      </c>
      <c r="F705">
        <f>IF(A705&lt;&gt;"", XLOOKUP(A705, Extrato!$D:$D, Extrato!$B:$B, ""), "")</f>
        <v/>
      </c>
      <c r="G705">
        <f>IF(A705&lt;&gt;"", XLOOKUP(A705, Extrato!$D:$D, Extrato!$C:$C, ""), "")</f>
        <v/>
      </c>
      <c r="H705">
        <f>IF(A705="", "", IF(E705="", "Pendente", IF(C705=G705, "OK", "Valor divergente")))</f>
        <v/>
      </c>
    </row>
    <row r="706">
      <c r="A706">
        <f>IF(NF!A704&lt;&gt;"", NF!A704, "")</f>
        <v/>
      </c>
      <c r="B706">
        <f>IF(A706&lt;&gt;"", NF!B704, "")</f>
        <v/>
      </c>
      <c r="C706">
        <f>IF(A706&lt;&gt;"", NF!C704, "")</f>
        <v/>
      </c>
      <c r="D706">
        <f>IF(A706&lt;&gt;"", NF!D704, "")</f>
        <v/>
      </c>
      <c r="E706">
        <f>IF(A706&lt;&gt;"", XLOOKUP(A706, Extrato!$D:$D, Extrato!$A:$A, ""), "")</f>
        <v/>
      </c>
      <c r="F706">
        <f>IF(A706&lt;&gt;"", XLOOKUP(A706, Extrato!$D:$D, Extrato!$B:$B, ""), "")</f>
        <v/>
      </c>
      <c r="G706">
        <f>IF(A706&lt;&gt;"", XLOOKUP(A706, Extrato!$D:$D, Extrato!$C:$C, ""), "")</f>
        <v/>
      </c>
      <c r="H706">
        <f>IF(A706="", "", IF(E706="", "Pendente", IF(C706=G706, "OK", "Valor divergente")))</f>
        <v/>
      </c>
    </row>
    <row r="707">
      <c r="A707">
        <f>IF(NF!A705&lt;&gt;"", NF!A705, "")</f>
        <v/>
      </c>
      <c r="B707">
        <f>IF(A707&lt;&gt;"", NF!B705, "")</f>
        <v/>
      </c>
      <c r="C707">
        <f>IF(A707&lt;&gt;"", NF!C705, "")</f>
        <v/>
      </c>
      <c r="D707">
        <f>IF(A707&lt;&gt;"", NF!D705, "")</f>
        <v/>
      </c>
      <c r="E707">
        <f>IF(A707&lt;&gt;"", XLOOKUP(A707, Extrato!$D:$D, Extrato!$A:$A, ""), "")</f>
        <v/>
      </c>
      <c r="F707">
        <f>IF(A707&lt;&gt;"", XLOOKUP(A707, Extrato!$D:$D, Extrato!$B:$B, ""), "")</f>
        <v/>
      </c>
      <c r="G707">
        <f>IF(A707&lt;&gt;"", XLOOKUP(A707, Extrato!$D:$D, Extrato!$C:$C, ""), "")</f>
        <v/>
      </c>
      <c r="H707">
        <f>IF(A707="", "", IF(E707="", "Pendente", IF(C707=G707, "OK", "Valor divergente")))</f>
        <v/>
      </c>
    </row>
    <row r="708">
      <c r="A708">
        <f>IF(NF!A706&lt;&gt;"", NF!A706, "")</f>
        <v/>
      </c>
      <c r="B708">
        <f>IF(A708&lt;&gt;"", NF!B706, "")</f>
        <v/>
      </c>
      <c r="C708">
        <f>IF(A708&lt;&gt;"", NF!C706, "")</f>
        <v/>
      </c>
      <c r="D708">
        <f>IF(A708&lt;&gt;"", NF!D706, "")</f>
        <v/>
      </c>
      <c r="E708">
        <f>IF(A708&lt;&gt;"", XLOOKUP(A708, Extrato!$D:$D, Extrato!$A:$A, ""), "")</f>
        <v/>
      </c>
      <c r="F708">
        <f>IF(A708&lt;&gt;"", XLOOKUP(A708, Extrato!$D:$D, Extrato!$B:$B, ""), "")</f>
        <v/>
      </c>
      <c r="G708">
        <f>IF(A708&lt;&gt;"", XLOOKUP(A708, Extrato!$D:$D, Extrato!$C:$C, ""), "")</f>
        <v/>
      </c>
      <c r="H708">
        <f>IF(A708="", "", IF(E708="", "Pendente", IF(C708=G708, "OK", "Valor divergente")))</f>
        <v/>
      </c>
    </row>
    <row r="709">
      <c r="A709">
        <f>IF(NF!A707&lt;&gt;"", NF!A707, "")</f>
        <v/>
      </c>
      <c r="B709">
        <f>IF(A709&lt;&gt;"", NF!B707, "")</f>
        <v/>
      </c>
      <c r="C709">
        <f>IF(A709&lt;&gt;"", NF!C707, "")</f>
        <v/>
      </c>
      <c r="D709">
        <f>IF(A709&lt;&gt;"", NF!D707, "")</f>
        <v/>
      </c>
      <c r="E709">
        <f>IF(A709&lt;&gt;"", XLOOKUP(A709, Extrato!$D:$D, Extrato!$A:$A, ""), "")</f>
        <v/>
      </c>
      <c r="F709">
        <f>IF(A709&lt;&gt;"", XLOOKUP(A709, Extrato!$D:$D, Extrato!$B:$B, ""), "")</f>
        <v/>
      </c>
      <c r="G709">
        <f>IF(A709&lt;&gt;"", XLOOKUP(A709, Extrato!$D:$D, Extrato!$C:$C, ""), "")</f>
        <v/>
      </c>
      <c r="H709">
        <f>IF(A709="", "", IF(E709="", "Pendente", IF(C709=G709, "OK", "Valor divergente")))</f>
        <v/>
      </c>
    </row>
    <row r="710">
      <c r="A710">
        <f>IF(NF!A708&lt;&gt;"", NF!A708, "")</f>
        <v/>
      </c>
      <c r="B710">
        <f>IF(A710&lt;&gt;"", NF!B708, "")</f>
        <v/>
      </c>
      <c r="C710">
        <f>IF(A710&lt;&gt;"", NF!C708, "")</f>
        <v/>
      </c>
      <c r="D710">
        <f>IF(A710&lt;&gt;"", NF!D708, "")</f>
        <v/>
      </c>
      <c r="E710">
        <f>IF(A710&lt;&gt;"", XLOOKUP(A710, Extrato!$D:$D, Extrato!$A:$A, ""), "")</f>
        <v/>
      </c>
      <c r="F710">
        <f>IF(A710&lt;&gt;"", XLOOKUP(A710, Extrato!$D:$D, Extrato!$B:$B, ""), "")</f>
        <v/>
      </c>
      <c r="G710">
        <f>IF(A710&lt;&gt;"", XLOOKUP(A710, Extrato!$D:$D, Extrato!$C:$C, ""), "")</f>
        <v/>
      </c>
      <c r="H710">
        <f>IF(A710="", "", IF(E710="", "Pendente", IF(C710=G710, "OK", "Valor divergente")))</f>
        <v/>
      </c>
    </row>
    <row r="711">
      <c r="A711">
        <f>IF(NF!A709&lt;&gt;"", NF!A709, "")</f>
        <v/>
      </c>
      <c r="B711">
        <f>IF(A711&lt;&gt;"", NF!B709, "")</f>
        <v/>
      </c>
      <c r="C711">
        <f>IF(A711&lt;&gt;"", NF!C709, "")</f>
        <v/>
      </c>
      <c r="D711">
        <f>IF(A711&lt;&gt;"", NF!D709, "")</f>
        <v/>
      </c>
      <c r="E711">
        <f>IF(A711&lt;&gt;"", XLOOKUP(A711, Extrato!$D:$D, Extrato!$A:$A, ""), "")</f>
        <v/>
      </c>
      <c r="F711">
        <f>IF(A711&lt;&gt;"", XLOOKUP(A711, Extrato!$D:$D, Extrato!$B:$B, ""), "")</f>
        <v/>
      </c>
      <c r="G711">
        <f>IF(A711&lt;&gt;"", XLOOKUP(A711, Extrato!$D:$D, Extrato!$C:$C, ""), "")</f>
        <v/>
      </c>
      <c r="H711">
        <f>IF(A711="", "", IF(E711="", "Pendente", IF(C711=G711, "OK", "Valor divergente")))</f>
        <v/>
      </c>
    </row>
    <row r="712">
      <c r="A712">
        <f>IF(NF!A710&lt;&gt;"", NF!A710, "")</f>
        <v/>
      </c>
      <c r="B712">
        <f>IF(A712&lt;&gt;"", NF!B710, "")</f>
        <v/>
      </c>
      <c r="C712">
        <f>IF(A712&lt;&gt;"", NF!C710, "")</f>
        <v/>
      </c>
      <c r="D712">
        <f>IF(A712&lt;&gt;"", NF!D710, "")</f>
        <v/>
      </c>
      <c r="E712">
        <f>IF(A712&lt;&gt;"", XLOOKUP(A712, Extrato!$D:$D, Extrato!$A:$A, ""), "")</f>
        <v/>
      </c>
      <c r="F712">
        <f>IF(A712&lt;&gt;"", XLOOKUP(A712, Extrato!$D:$D, Extrato!$B:$B, ""), "")</f>
        <v/>
      </c>
      <c r="G712">
        <f>IF(A712&lt;&gt;"", XLOOKUP(A712, Extrato!$D:$D, Extrato!$C:$C, ""), "")</f>
        <v/>
      </c>
      <c r="H712">
        <f>IF(A712="", "", IF(E712="", "Pendente", IF(C712=G712, "OK", "Valor divergente")))</f>
        <v/>
      </c>
    </row>
    <row r="713">
      <c r="A713">
        <f>IF(NF!A711&lt;&gt;"", NF!A711, "")</f>
        <v/>
      </c>
      <c r="B713">
        <f>IF(A713&lt;&gt;"", NF!B711, "")</f>
        <v/>
      </c>
      <c r="C713">
        <f>IF(A713&lt;&gt;"", NF!C711, "")</f>
        <v/>
      </c>
      <c r="D713">
        <f>IF(A713&lt;&gt;"", NF!D711, "")</f>
        <v/>
      </c>
      <c r="E713">
        <f>IF(A713&lt;&gt;"", XLOOKUP(A713, Extrato!$D:$D, Extrato!$A:$A, ""), "")</f>
        <v/>
      </c>
      <c r="F713">
        <f>IF(A713&lt;&gt;"", XLOOKUP(A713, Extrato!$D:$D, Extrato!$B:$B, ""), "")</f>
        <v/>
      </c>
      <c r="G713">
        <f>IF(A713&lt;&gt;"", XLOOKUP(A713, Extrato!$D:$D, Extrato!$C:$C, ""), "")</f>
        <v/>
      </c>
      <c r="H713">
        <f>IF(A713="", "", IF(E713="", "Pendente", IF(C713=G713, "OK", "Valor divergente")))</f>
        <v/>
      </c>
    </row>
    <row r="714">
      <c r="A714">
        <f>IF(NF!A712&lt;&gt;"", NF!A712, "")</f>
        <v/>
      </c>
      <c r="B714">
        <f>IF(A714&lt;&gt;"", NF!B712, "")</f>
        <v/>
      </c>
      <c r="C714">
        <f>IF(A714&lt;&gt;"", NF!C712, "")</f>
        <v/>
      </c>
      <c r="D714">
        <f>IF(A714&lt;&gt;"", NF!D712, "")</f>
        <v/>
      </c>
      <c r="E714">
        <f>IF(A714&lt;&gt;"", XLOOKUP(A714, Extrato!$D:$D, Extrato!$A:$A, ""), "")</f>
        <v/>
      </c>
      <c r="F714">
        <f>IF(A714&lt;&gt;"", XLOOKUP(A714, Extrato!$D:$D, Extrato!$B:$B, ""), "")</f>
        <v/>
      </c>
      <c r="G714">
        <f>IF(A714&lt;&gt;"", XLOOKUP(A714, Extrato!$D:$D, Extrato!$C:$C, ""), "")</f>
        <v/>
      </c>
      <c r="H714">
        <f>IF(A714="", "", IF(E714="", "Pendente", IF(C714=G714, "OK", "Valor divergente")))</f>
        <v/>
      </c>
    </row>
    <row r="715">
      <c r="A715">
        <f>IF(NF!A713&lt;&gt;"", NF!A713, "")</f>
        <v/>
      </c>
      <c r="B715">
        <f>IF(A715&lt;&gt;"", NF!B713, "")</f>
        <v/>
      </c>
      <c r="C715">
        <f>IF(A715&lt;&gt;"", NF!C713, "")</f>
        <v/>
      </c>
      <c r="D715">
        <f>IF(A715&lt;&gt;"", NF!D713, "")</f>
        <v/>
      </c>
      <c r="E715">
        <f>IF(A715&lt;&gt;"", XLOOKUP(A715, Extrato!$D:$D, Extrato!$A:$A, ""), "")</f>
        <v/>
      </c>
      <c r="F715">
        <f>IF(A715&lt;&gt;"", XLOOKUP(A715, Extrato!$D:$D, Extrato!$B:$B, ""), "")</f>
        <v/>
      </c>
      <c r="G715">
        <f>IF(A715&lt;&gt;"", XLOOKUP(A715, Extrato!$D:$D, Extrato!$C:$C, ""), "")</f>
        <v/>
      </c>
      <c r="H715">
        <f>IF(A715="", "", IF(E715="", "Pendente", IF(C715=G715, "OK", "Valor divergente")))</f>
        <v/>
      </c>
    </row>
    <row r="716">
      <c r="A716">
        <f>IF(NF!A714&lt;&gt;"", NF!A714, "")</f>
        <v/>
      </c>
      <c r="B716">
        <f>IF(A716&lt;&gt;"", NF!B714, "")</f>
        <v/>
      </c>
      <c r="C716">
        <f>IF(A716&lt;&gt;"", NF!C714, "")</f>
        <v/>
      </c>
      <c r="D716">
        <f>IF(A716&lt;&gt;"", NF!D714, "")</f>
        <v/>
      </c>
      <c r="E716">
        <f>IF(A716&lt;&gt;"", XLOOKUP(A716, Extrato!$D:$D, Extrato!$A:$A, ""), "")</f>
        <v/>
      </c>
      <c r="F716">
        <f>IF(A716&lt;&gt;"", XLOOKUP(A716, Extrato!$D:$D, Extrato!$B:$B, ""), "")</f>
        <v/>
      </c>
      <c r="G716">
        <f>IF(A716&lt;&gt;"", XLOOKUP(A716, Extrato!$D:$D, Extrato!$C:$C, ""), "")</f>
        <v/>
      </c>
      <c r="H716">
        <f>IF(A716="", "", IF(E716="", "Pendente", IF(C716=G716, "OK", "Valor divergente")))</f>
        <v/>
      </c>
    </row>
    <row r="717">
      <c r="A717">
        <f>IF(NF!A715&lt;&gt;"", NF!A715, "")</f>
        <v/>
      </c>
      <c r="B717">
        <f>IF(A717&lt;&gt;"", NF!B715, "")</f>
        <v/>
      </c>
      <c r="C717">
        <f>IF(A717&lt;&gt;"", NF!C715, "")</f>
        <v/>
      </c>
      <c r="D717">
        <f>IF(A717&lt;&gt;"", NF!D715, "")</f>
        <v/>
      </c>
      <c r="E717">
        <f>IF(A717&lt;&gt;"", XLOOKUP(A717, Extrato!$D:$D, Extrato!$A:$A, ""), "")</f>
        <v/>
      </c>
      <c r="F717">
        <f>IF(A717&lt;&gt;"", XLOOKUP(A717, Extrato!$D:$D, Extrato!$B:$B, ""), "")</f>
        <v/>
      </c>
      <c r="G717">
        <f>IF(A717&lt;&gt;"", XLOOKUP(A717, Extrato!$D:$D, Extrato!$C:$C, ""), "")</f>
        <v/>
      </c>
      <c r="H717">
        <f>IF(A717="", "", IF(E717="", "Pendente", IF(C717=G717, "OK", "Valor divergente")))</f>
        <v/>
      </c>
    </row>
    <row r="718">
      <c r="A718">
        <f>IF(NF!A716&lt;&gt;"", NF!A716, "")</f>
        <v/>
      </c>
      <c r="B718">
        <f>IF(A718&lt;&gt;"", NF!B716, "")</f>
        <v/>
      </c>
      <c r="C718">
        <f>IF(A718&lt;&gt;"", NF!C716, "")</f>
        <v/>
      </c>
      <c r="D718">
        <f>IF(A718&lt;&gt;"", NF!D716, "")</f>
        <v/>
      </c>
      <c r="E718">
        <f>IF(A718&lt;&gt;"", XLOOKUP(A718, Extrato!$D:$D, Extrato!$A:$A, ""), "")</f>
        <v/>
      </c>
      <c r="F718">
        <f>IF(A718&lt;&gt;"", XLOOKUP(A718, Extrato!$D:$D, Extrato!$B:$B, ""), "")</f>
        <v/>
      </c>
      <c r="G718">
        <f>IF(A718&lt;&gt;"", XLOOKUP(A718, Extrato!$D:$D, Extrato!$C:$C, ""), "")</f>
        <v/>
      </c>
      <c r="H718">
        <f>IF(A718="", "", IF(E718="", "Pendente", IF(C718=G718, "OK", "Valor divergente")))</f>
        <v/>
      </c>
    </row>
    <row r="719">
      <c r="A719">
        <f>IF(NF!A717&lt;&gt;"", NF!A717, "")</f>
        <v/>
      </c>
      <c r="B719">
        <f>IF(A719&lt;&gt;"", NF!B717, "")</f>
        <v/>
      </c>
      <c r="C719">
        <f>IF(A719&lt;&gt;"", NF!C717, "")</f>
        <v/>
      </c>
      <c r="D719">
        <f>IF(A719&lt;&gt;"", NF!D717, "")</f>
        <v/>
      </c>
      <c r="E719">
        <f>IF(A719&lt;&gt;"", XLOOKUP(A719, Extrato!$D:$D, Extrato!$A:$A, ""), "")</f>
        <v/>
      </c>
      <c r="F719">
        <f>IF(A719&lt;&gt;"", XLOOKUP(A719, Extrato!$D:$D, Extrato!$B:$B, ""), "")</f>
        <v/>
      </c>
      <c r="G719">
        <f>IF(A719&lt;&gt;"", XLOOKUP(A719, Extrato!$D:$D, Extrato!$C:$C, ""), "")</f>
        <v/>
      </c>
      <c r="H719">
        <f>IF(A719="", "", IF(E719="", "Pendente", IF(C719=G719, "OK", "Valor divergente")))</f>
        <v/>
      </c>
    </row>
    <row r="720">
      <c r="A720">
        <f>IF(NF!A718&lt;&gt;"", NF!A718, "")</f>
        <v/>
      </c>
      <c r="B720">
        <f>IF(A720&lt;&gt;"", NF!B718, "")</f>
        <v/>
      </c>
      <c r="C720">
        <f>IF(A720&lt;&gt;"", NF!C718, "")</f>
        <v/>
      </c>
      <c r="D720">
        <f>IF(A720&lt;&gt;"", NF!D718, "")</f>
        <v/>
      </c>
      <c r="E720">
        <f>IF(A720&lt;&gt;"", XLOOKUP(A720, Extrato!$D:$D, Extrato!$A:$A, ""), "")</f>
        <v/>
      </c>
      <c r="F720">
        <f>IF(A720&lt;&gt;"", XLOOKUP(A720, Extrato!$D:$D, Extrato!$B:$B, ""), "")</f>
        <v/>
      </c>
      <c r="G720">
        <f>IF(A720&lt;&gt;"", XLOOKUP(A720, Extrato!$D:$D, Extrato!$C:$C, ""), "")</f>
        <v/>
      </c>
      <c r="H720">
        <f>IF(A720="", "", IF(E720="", "Pendente", IF(C720=G720, "OK", "Valor divergente")))</f>
        <v/>
      </c>
    </row>
    <row r="721">
      <c r="A721">
        <f>IF(NF!A719&lt;&gt;"", NF!A719, "")</f>
        <v/>
      </c>
      <c r="B721">
        <f>IF(A721&lt;&gt;"", NF!B719, "")</f>
        <v/>
      </c>
      <c r="C721">
        <f>IF(A721&lt;&gt;"", NF!C719, "")</f>
        <v/>
      </c>
      <c r="D721">
        <f>IF(A721&lt;&gt;"", NF!D719, "")</f>
        <v/>
      </c>
      <c r="E721">
        <f>IF(A721&lt;&gt;"", XLOOKUP(A721, Extrato!$D:$D, Extrato!$A:$A, ""), "")</f>
        <v/>
      </c>
      <c r="F721">
        <f>IF(A721&lt;&gt;"", XLOOKUP(A721, Extrato!$D:$D, Extrato!$B:$B, ""), "")</f>
        <v/>
      </c>
      <c r="G721">
        <f>IF(A721&lt;&gt;"", XLOOKUP(A721, Extrato!$D:$D, Extrato!$C:$C, ""), "")</f>
        <v/>
      </c>
      <c r="H721">
        <f>IF(A721="", "", IF(E721="", "Pendente", IF(C721=G721, "OK", "Valor divergente")))</f>
        <v/>
      </c>
    </row>
    <row r="722">
      <c r="A722">
        <f>IF(NF!A720&lt;&gt;"", NF!A720, "")</f>
        <v/>
      </c>
      <c r="B722">
        <f>IF(A722&lt;&gt;"", NF!B720, "")</f>
        <v/>
      </c>
      <c r="C722">
        <f>IF(A722&lt;&gt;"", NF!C720, "")</f>
        <v/>
      </c>
      <c r="D722">
        <f>IF(A722&lt;&gt;"", NF!D720, "")</f>
        <v/>
      </c>
      <c r="E722">
        <f>IF(A722&lt;&gt;"", XLOOKUP(A722, Extrato!$D:$D, Extrato!$A:$A, ""), "")</f>
        <v/>
      </c>
      <c r="F722">
        <f>IF(A722&lt;&gt;"", XLOOKUP(A722, Extrato!$D:$D, Extrato!$B:$B, ""), "")</f>
        <v/>
      </c>
      <c r="G722">
        <f>IF(A722&lt;&gt;"", XLOOKUP(A722, Extrato!$D:$D, Extrato!$C:$C, ""), "")</f>
        <v/>
      </c>
      <c r="H722">
        <f>IF(A722="", "", IF(E722="", "Pendente", IF(C722=G722, "OK", "Valor divergente")))</f>
        <v/>
      </c>
    </row>
    <row r="723">
      <c r="A723">
        <f>IF(NF!A721&lt;&gt;"", NF!A721, "")</f>
        <v/>
      </c>
      <c r="B723">
        <f>IF(A723&lt;&gt;"", NF!B721, "")</f>
        <v/>
      </c>
      <c r="C723">
        <f>IF(A723&lt;&gt;"", NF!C721, "")</f>
        <v/>
      </c>
      <c r="D723">
        <f>IF(A723&lt;&gt;"", NF!D721, "")</f>
        <v/>
      </c>
      <c r="E723">
        <f>IF(A723&lt;&gt;"", XLOOKUP(A723, Extrato!$D:$D, Extrato!$A:$A, ""), "")</f>
        <v/>
      </c>
      <c r="F723">
        <f>IF(A723&lt;&gt;"", XLOOKUP(A723, Extrato!$D:$D, Extrato!$B:$B, ""), "")</f>
        <v/>
      </c>
      <c r="G723">
        <f>IF(A723&lt;&gt;"", XLOOKUP(A723, Extrato!$D:$D, Extrato!$C:$C, ""), "")</f>
        <v/>
      </c>
      <c r="H723">
        <f>IF(A723="", "", IF(E723="", "Pendente", IF(C723=G723, "OK", "Valor divergente")))</f>
        <v/>
      </c>
    </row>
    <row r="724">
      <c r="A724">
        <f>IF(NF!A722&lt;&gt;"", NF!A722, "")</f>
        <v/>
      </c>
      <c r="B724">
        <f>IF(A724&lt;&gt;"", NF!B722, "")</f>
        <v/>
      </c>
      <c r="C724">
        <f>IF(A724&lt;&gt;"", NF!C722, "")</f>
        <v/>
      </c>
      <c r="D724">
        <f>IF(A724&lt;&gt;"", NF!D722, "")</f>
        <v/>
      </c>
      <c r="E724">
        <f>IF(A724&lt;&gt;"", XLOOKUP(A724, Extrato!$D:$D, Extrato!$A:$A, ""), "")</f>
        <v/>
      </c>
      <c r="F724">
        <f>IF(A724&lt;&gt;"", XLOOKUP(A724, Extrato!$D:$D, Extrato!$B:$B, ""), "")</f>
        <v/>
      </c>
      <c r="G724">
        <f>IF(A724&lt;&gt;"", XLOOKUP(A724, Extrato!$D:$D, Extrato!$C:$C, ""), "")</f>
        <v/>
      </c>
      <c r="H724">
        <f>IF(A724="", "", IF(E724="", "Pendente", IF(C724=G724, "OK", "Valor divergente")))</f>
        <v/>
      </c>
    </row>
    <row r="725">
      <c r="A725">
        <f>IF(NF!A723&lt;&gt;"", NF!A723, "")</f>
        <v/>
      </c>
      <c r="B725">
        <f>IF(A725&lt;&gt;"", NF!B723, "")</f>
        <v/>
      </c>
      <c r="C725">
        <f>IF(A725&lt;&gt;"", NF!C723, "")</f>
        <v/>
      </c>
      <c r="D725">
        <f>IF(A725&lt;&gt;"", NF!D723, "")</f>
        <v/>
      </c>
      <c r="E725">
        <f>IF(A725&lt;&gt;"", XLOOKUP(A725, Extrato!$D:$D, Extrato!$A:$A, ""), "")</f>
        <v/>
      </c>
      <c r="F725">
        <f>IF(A725&lt;&gt;"", XLOOKUP(A725, Extrato!$D:$D, Extrato!$B:$B, ""), "")</f>
        <v/>
      </c>
      <c r="G725">
        <f>IF(A725&lt;&gt;"", XLOOKUP(A725, Extrato!$D:$D, Extrato!$C:$C, ""), "")</f>
        <v/>
      </c>
      <c r="H725">
        <f>IF(A725="", "", IF(E725="", "Pendente", IF(C725=G725, "OK", "Valor divergente")))</f>
        <v/>
      </c>
    </row>
    <row r="726">
      <c r="A726">
        <f>IF(NF!A724&lt;&gt;"", NF!A724, "")</f>
        <v/>
      </c>
      <c r="B726">
        <f>IF(A726&lt;&gt;"", NF!B724, "")</f>
        <v/>
      </c>
      <c r="C726">
        <f>IF(A726&lt;&gt;"", NF!C724, "")</f>
        <v/>
      </c>
      <c r="D726">
        <f>IF(A726&lt;&gt;"", NF!D724, "")</f>
        <v/>
      </c>
      <c r="E726">
        <f>IF(A726&lt;&gt;"", XLOOKUP(A726, Extrato!$D:$D, Extrato!$A:$A, ""), "")</f>
        <v/>
      </c>
      <c r="F726">
        <f>IF(A726&lt;&gt;"", XLOOKUP(A726, Extrato!$D:$D, Extrato!$B:$B, ""), "")</f>
        <v/>
      </c>
      <c r="G726">
        <f>IF(A726&lt;&gt;"", XLOOKUP(A726, Extrato!$D:$D, Extrato!$C:$C, ""), "")</f>
        <v/>
      </c>
      <c r="H726">
        <f>IF(A726="", "", IF(E726="", "Pendente", IF(C726=G726, "OK", "Valor divergente")))</f>
        <v/>
      </c>
    </row>
    <row r="727">
      <c r="A727">
        <f>IF(NF!A725&lt;&gt;"", NF!A725, "")</f>
        <v/>
      </c>
      <c r="B727">
        <f>IF(A727&lt;&gt;"", NF!B725, "")</f>
        <v/>
      </c>
      <c r="C727">
        <f>IF(A727&lt;&gt;"", NF!C725, "")</f>
        <v/>
      </c>
      <c r="D727">
        <f>IF(A727&lt;&gt;"", NF!D725, "")</f>
        <v/>
      </c>
      <c r="E727">
        <f>IF(A727&lt;&gt;"", XLOOKUP(A727, Extrato!$D:$D, Extrato!$A:$A, ""), "")</f>
        <v/>
      </c>
      <c r="F727">
        <f>IF(A727&lt;&gt;"", XLOOKUP(A727, Extrato!$D:$D, Extrato!$B:$B, ""), "")</f>
        <v/>
      </c>
      <c r="G727">
        <f>IF(A727&lt;&gt;"", XLOOKUP(A727, Extrato!$D:$D, Extrato!$C:$C, ""), "")</f>
        <v/>
      </c>
      <c r="H727">
        <f>IF(A727="", "", IF(E727="", "Pendente", IF(C727=G727, "OK", "Valor divergente")))</f>
        <v/>
      </c>
    </row>
    <row r="728">
      <c r="A728">
        <f>IF(NF!A726&lt;&gt;"", NF!A726, "")</f>
        <v/>
      </c>
      <c r="B728">
        <f>IF(A728&lt;&gt;"", NF!B726, "")</f>
        <v/>
      </c>
      <c r="C728">
        <f>IF(A728&lt;&gt;"", NF!C726, "")</f>
        <v/>
      </c>
      <c r="D728">
        <f>IF(A728&lt;&gt;"", NF!D726, "")</f>
        <v/>
      </c>
      <c r="E728">
        <f>IF(A728&lt;&gt;"", XLOOKUP(A728, Extrato!$D:$D, Extrato!$A:$A, ""), "")</f>
        <v/>
      </c>
      <c r="F728">
        <f>IF(A728&lt;&gt;"", XLOOKUP(A728, Extrato!$D:$D, Extrato!$B:$B, ""), "")</f>
        <v/>
      </c>
      <c r="G728">
        <f>IF(A728&lt;&gt;"", XLOOKUP(A728, Extrato!$D:$D, Extrato!$C:$C, ""), "")</f>
        <v/>
      </c>
      <c r="H728">
        <f>IF(A728="", "", IF(E728="", "Pendente", IF(C728=G728, "OK", "Valor divergente")))</f>
        <v/>
      </c>
    </row>
    <row r="729">
      <c r="A729">
        <f>IF(NF!A727&lt;&gt;"", NF!A727, "")</f>
        <v/>
      </c>
      <c r="B729">
        <f>IF(A729&lt;&gt;"", NF!B727, "")</f>
        <v/>
      </c>
      <c r="C729">
        <f>IF(A729&lt;&gt;"", NF!C727, "")</f>
        <v/>
      </c>
      <c r="D729">
        <f>IF(A729&lt;&gt;"", NF!D727, "")</f>
        <v/>
      </c>
      <c r="E729">
        <f>IF(A729&lt;&gt;"", XLOOKUP(A729, Extrato!$D:$D, Extrato!$A:$A, ""), "")</f>
        <v/>
      </c>
      <c r="F729">
        <f>IF(A729&lt;&gt;"", XLOOKUP(A729, Extrato!$D:$D, Extrato!$B:$B, ""), "")</f>
        <v/>
      </c>
      <c r="G729">
        <f>IF(A729&lt;&gt;"", XLOOKUP(A729, Extrato!$D:$D, Extrato!$C:$C, ""), "")</f>
        <v/>
      </c>
      <c r="H729">
        <f>IF(A729="", "", IF(E729="", "Pendente", IF(C729=G729, "OK", "Valor divergente")))</f>
        <v/>
      </c>
    </row>
    <row r="730">
      <c r="A730">
        <f>IF(NF!A728&lt;&gt;"", NF!A728, "")</f>
        <v/>
      </c>
      <c r="B730">
        <f>IF(A730&lt;&gt;"", NF!B728, "")</f>
        <v/>
      </c>
      <c r="C730">
        <f>IF(A730&lt;&gt;"", NF!C728, "")</f>
        <v/>
      </c>
      <c r="D730">
        <f>IF(A730&lt;&gt;"", NF!D728, "")</f>
        <v/>
      </c>
      <c r="E730">
        <f>IF(A730&lt;&gt;"", XLOOKUP(A730, Extrato!$D:$D, Extrato!$A:$A, ""), "")</f>
        <v/>
      </c>
      <c r="F730">
        <f>IF(A730&lt;&gt;"", XLOOKUP(A730, Extrato!$D:$D, Extrato!$B:$B, ""), "")</f>
        <v/>
      </c>
      <c r="G730">
        <f>IF(A730&lt;&gt;"", XLOOKUP(A730, Extrato!$D:$D, Extrato!$C:$C, ""), "")</f>
        <v/>
      </c>
      <c r="H730">
        <f>IF(A730="", "", IF(E730="", "Pendente", IF(C730=G730, "OK", "Valor divergente")))</f>
        <v/>
      </c>
    </row>
    <row r="731">
      <c r="A731">
        <f>IF(NF!A729&lt;&gt;"", NF!A729, "")</f>
        <v/>
      </c>
      <c r="B731">
        <f>IF(A731&lt;&gt;"", NF!B729, "")</f>
        <v/>
      </c>
      <c r="C731">
        <f>IF(A731&lt;&gt;"", NF!C729, "")</f>
        <v/>
      </c>
      <c r="D731">
        <f>IF(A731&lt;&gt;"", NF!D729, "")</f>
        <v/>
      </c>
      <c r="E731">
        <f>IF(A731&lt;&gt;"", XLOOKUP(A731, Extrato!$D:$D, Extrato!$A:$A, ""), "")</f>
        <v/>
      </c>
      <c r="F731">
        <f>IF(A731&lt;&gt;"", XLOOKUP(A731, Extrato!$D:$D, Extrato!$B:$B, ""), "")</f>
        <v/>
      </c>
      <c r="G731">
        <f>IF(A731&lt;&gt;"", XLOOKUP(A731, Extrato!$D:$D, Extrato!$C:$C, ""), "")</f>
        <v/>
      </c>
      <c r="H731">
        <f>IF(A731="", "", IF(E731="", "Pendente", IF(C731=G731, "OK", "Valor divergente")))</f>
        <v/>
      </c>
    </row>
    <row r="732">
      <c r="A732">
        <f>IF(NF!A730&lt;&gt;"", NF!A730, "")</f>
        <v/>
      </c>
      <c r="B732">
        <f>IF(A732&lt;&gt;"", NF!B730, "")</f>
        <v/>
      </c>
      <c r="C732">
        <f>IF(A732&lt;&gt;"", NF!C730, "")</f>
        <v/>
      </c>
      <c r="D732">
        <f>IF(A732&lt;&gt;"", NF!D730, "")</f>
        <v/>
      </c>
      <c r="E732">
        <f>IF(A732&lt;&gt;"", XLOOKUP(A732, Extrato!$D:$D, Extrato!$A:$A, ""), "")</f>
        <v/>
      </c>
      <c r="F732">
        <f>IF(A732&lt;&gt;"", XLOOKUP(A732, Extrato!$D:$D, Extrato!$B:$B, ""), "")</f>
        <v/>
      </c>
      <c r="G732">
        <f>IF(A732&lt;&gt;"", XLOOKUP(A732, Extrato!$D:$D, Extrato!$C:$C, ""), "")</f>
        <v/>
      </c>
      <c r="H732">
        <f>IF(A732="", "", IF(E732="", "Pendente", IF(C732=G732, "OK", "Valor divergente")))</f>
        <v/>
      </c>
    </row>
    <row r="733">
      <c r="A733">
        <f>IF(NF!A731&lt;&gt;"", NF!A731, "")</f>
        <v/>
      </c>
      <c r="B733">
        <f>IF(A733&lt;&gt;"", NF!B731, "")</f>
        <v/>
      </c>
      <c r="C733">
        <f>IF(A733&lt;&gt;"", NF!C731, "")</f>
        <v/>
      </c>
      <c r="D733">
        <f>IF(A733&lt;&gt;"", NF!D731, "")</f>
        <v/>
      </c>
      <c r="E733">
        <f>IF(A733&lt;&gt;"", XLOOKUP(A733, Extrato!$D:$D, Extrato!$A:$A, ""), "")</f>
        <v/>
      </c>
      <c r="F733">
        <f>IF(A733&lt;&gt;"", XLOOKUP(A733, Extrato!$D:$D, Extrato!$B:$B, ""), "")</f>
        <v/>
      </c>
      <c r="G733">
        <f>IF(A733&lt;&gt;"", XLOOKUP(A733, Extrato!$D:$D, Extrato!$C:$C, ""), "")</f>
        <v/>
      </c>
      <c r="H733">
        <f>IF(A733="", "", IF(E733="", "Pendente", IF(C733=G733, "OK", "Valor divergente")))</f>
        <v/>
      </c>
    </row>
    <row r="734">
      <c r="A734">
        <f>IF(NF!A732&lt;&gt;"", NF!A732, "")</f>
        <v/>
      </c>
      <c r="B734">
        <f>IF(A734&lt;&gt;"", NF!B732, "")</f>
        <v/>
      </c>
      <c r="C734">
        <f>IF(A734&lt;&gt;"", NF!C732, "")</f>
        <v/>
      </c>
      <c r="D734">
        <f>IF(A734&lt;&gt;"", NF!D732, "")</f>
        <v/>
      </c>
      <c r="E734">
        <f>IF(A734&lt;&gt;"", XLOOKUP(A734, Extrato!$D:$D, Extrato!$A:$A, ""), "")</f>
        <v/>
      </c>
      <c r="F734">
        <f>IF(A734&lt;&gt;"", XLOOKUP(A734, Extrato!$D:$D, Extrato!$B:$B, ""), "")</f>
        <v/>
      </c>
      <c r="G734">
        <f>IF(A734&lt;&gt;"", XLOOKUP(A734, Extrato!$D:$D, Extrato!$C:$C, ""), "")</f>
        <v/>
      </c>
      <c r="H734">
        <f>IF(A734="", "", IF(E734="", "Pendente", IF(C734=G734, "OK", "Valor divergente")))</f>
        <v/>
      </c>
    </row>
    <row r="735">
      <c r="A735">
        <f>IF(NF!A733&lt;&gt;"", NF!A733, "")</f>
        <v/>
      </c>
      <c r="B735">
        <f>IF(A735&lt;&gt;"", NF!B733, "")</f>
        <v/>
      </c>
      <c r="C735">
        <f>IF(A735&lt;&gt;"", NF!C733, "")</f>
        <v/>
      </c>
      <c r="D735">
        <f>IF(A735&lt;&gt;"", NF!D733, "")</f>
        <v/>
      </c>
      <c r="E735">
        <f>IF(A735&lt;&gt;"", XLOOKUP(A735, Extrato!$D:$D, Extrato!$A:$A, ""), "")</f>
        <v/>
      </c>
      <c r="F735">
        <f>IF(A735&lt;&gt;"", XLOOKUP(A735, Extrato!$D:$D, Extrato!$B:$B, ""), "")</f>
        <v/>
      </c>
      <c r="G735">
        <f>IF(A735&lt;&gt;"", XLOOKUP(A735, Extrato!$D:$D, Extrato!$C:$C, ""), "")</f>
        <v/>
      </c>
      <c r="H735">
        <f>IF(A735="", "", IF(E735="", "Pendente", IF(C735=G735, "OK", "Valor divergente")))</f>
        <v/>
      </c>
    </row>
    <row r="736">
      <c r="A736">
        <f>IF(NF!A734&lt;&gt;"", NF!A734, "")</f>
        <v/>
      </c>
      <c r="B736">
        <f>IF(A736&lt;&gt;"", NF!B734, "")</f>
        <v/>
      </c>
      <c r="C736">
        <f>IF(A736&lt;&gt;"", NF!C734, "")</f>
        <v/>
      </c>
      <c r="D736">
        <f>IF(A736&lt;&gt;"", NF!D734, "")</f>
        <v/>
      </c>
      <c r="E736">
        <f>IF(A736&lt;&gt;"", XLOOKUP(A736, Extrato!$D:$D, Extrato!$A:$A, ""), "")</f>
        <v/>
      </c>
      <c r="F736">
        <f>IF(A736&lt;&gt;"", XLOOKUP(A736, Extrato!$D:$D, Extrato!$B:$B, ""), "")</f>
        <v/>
      </c>
      <c r="G736">
        <f>IF(A736&lt;&gt;"", XLOOKUP(A736, Extrato!$D:$D, Extrato!$C:$C, ""), "")</f>
        <v/>
      </c>
      <c r="H736">
        <f>IF(A736="", "", IF(E736="", "Pendente", IF(C736=G736, "OK", "Valor divergente")))</f>
        <v/>
      </c>
    </row>
    <row r="737">
      <c r="A737">
        <f>IF(NF!A735&lt;&gt;"", NF!A735, "")</f>
        <v/>
      </c>
      <c r="B737">
        <f>IF(A737&lt;&gt;"", NF!B735, "")</f>
        <v/>
      </c>
      <c r="C737">
        <f>IF(A737&lt;&gt;"", NF!C735, "")</f>
        <v/>
      </c>
      <c r="D737">
        <f>IF(A737&lt;&gt;"", NF!D735, "")</f>
        <v/>
      </c>
      <c r="E737">
        <f>IF(A737&lt;&gt;"", XLOOKUP(A737, Extrato!$D:$D, Extrato!$A:$A, ""), "")</f>
        <v/>
      </c>
      <c r="F737">
        <f>IF(A737&lt;&gt;"", XLOOKUP(A737, Extrato!$D:$D, Extrato!$B:$B, ""), "")</f>
        <v/>
      </c>
      <c r="G737">
        <f>IF(A737&lt;&gt;"", XLOOKUP(A737, Extrato!$D:$D, Extrato!$C:$C, ""), "")</f>
        <v/>
      </c>
      <c r="H737">
        <f>IF(A737="", "", IF(E737="", "Pendente", IF(C737=G737, "OK", "Valor divergente")))</f>
        <v/>
      </c>
    </row>
    <row r="738">
      <c r="A738">
        <f>IF(NF!A736&lt;&gt;"", NF!A736, "")</f>
        <v/>
      </c>
      <c r="B738">
        <f>IF(A738&lt;&gt;"", NF!B736, "")</f>
        <v/>
      </c>
      <c r="C738">
        <f>IF(A738&lt;&gt;"", NF!C736, "")</f>
        <v/>
      </c>
      <c r="D738">
        <f>IF(A738&lt;&gt;"", NF!D736, "")</f>
        <v/>
      </c>
      <c r="E738">
        <f>IF(A738&lt;&gt;"", XLOOKUP(A738, Extrato!$D:$D, Extrato!$A:$A, ""), "")</f>
        <v/>
      </c>
      <c r="F738">
        <f>IF(A738&lt;&gt;"", XLOOKUP(A738, Extrato!$D:$D, Extrato!$B:$B, ""), "")</f>
        <v/>
      </c>
      <c r="G738">
        <f>IF(A738&lt;&gt;"", XLOOKUP(A738, Extrato!$D:$D, Extrato!$C:$C, ""), "")</f>
        <v/>
      </c>
      <c r="H738">
        <f>IF(A738="", "", IF(E738="", "Pendente", IF(C738=G738, "OK", "Valor divergente")))</f>
        <v/>
      </c>
    </row>
    <row r="739">
      <c r="A739">
        <f>IF(NF!A737&lt;&gt;"", NF!A737, "")</f>
        <v/>
      </c>
      <c r="B739">
        <f>IF(A739&lt;&gt;"", NF!B737, "")</f>
        <v/>
      </c>
      <c r="C739">
        <f>IF(A739&lt;&gt;"", NF!C737, "")</f>
        <v/>
      </c>
      <c r="D739">
        <f>IF(A739&lt;&gt;"", NF!D737, "")</f>
        <v/>
      </c>
      <c r="E739">
        <f>IF(A739&lt;&gt;"", XLOOKUP(A739, Extrato!$D:$D, Extrato!$A:$A, ""), "")</f>
        <v/>
      </c>
      <c r="F739">
        <f>IF(A739&lt;&gt;"", XLOOKUP(A739, Extrato!$D:$D, Extrato!$B:$B, ""), "")</f>
        <v/>
      </c>
      <c r="G739">
        <f>IF(A739&lt;&gt;"", XLOOKUP(A739, Extrato!$D:$D, Extrato!$C:$C, ""), "")</f>
        <v/>
      </c>
      <c r="H739">
        <f>IF(A739="", "", IF(E739="", "Pendente", IF(C739=G739, "OK", "Valor divergente")))</f>
        <v/>
      </c>
    </row>
    <row r="740">
      <c r="A740">
        <f>IF(NF!A738&lt;&gt;"", NF!A738, "")</f>
        <v/>
      </c>
      <c r="B740">
        <f>IF(A740&lt;&gt;"", NF!B738, "")</f>
        <v/>
      </c>
      <c r="C740">
        <f>IF(A740&lt;&gt;"", NF!C738, "")</f>
        <v/>
      </c>
      <c r="D740">
        <f>IF(A740&lt;&gt;"", NF!D738, "")</f>
        <v/>
      </c>
      <c r="E740">
        <f>IF(A740&lt;&gt;"", XLOOKUP(A740, Extrato!$D:$D, Extrato!$A:$A, ""), "")</f>
        <v/>
      </c>
      <c r="F740">
        <f>IF(A740&lt;&gt;"", XLOOKUP(A740, Extrato!$D:$D, Extrato!$B:$B, ""), "")</f>
        <v/>
      </c>
      <c r="G740">
        <f>IF(A740&lt;&gt;"", XLOOKUP(A740, Extrato!$D:$D, Extrato!$C:$C, ""), "")</f>
        <v/>
      </c>
      <c r="H740">
        <f>IF(A740="", "", IF(E740="", "Pendente", IF(C740=G740, "OK", "Valor divergente")))</f>
        <v/>
      </c>
    </row>
    <row r="741">
      <c r="A741">
        <f>IF(NF!A739&lt;&gt;"", NF!A739, "")</f>
        <v/>
      </c>
      <c r="B741">
        <f>IF(A741&lt;&gt;"", NF!B739, "")</f>
        <v/>
      </c>
      <c r="C741">
        <f>IF(A741&lt;&gt;"", NF!C739, "")</f>
        <v/>
      </c>
      <c r="D741">
        <f>IF(A741&lt;&gt;"", NF!D739, "")</f>
        <v/>
      </c>
      <c r="E741">
        <f>IF(A741&lt;&gt;"", XLOOKUP(A741, Extrato!$D:$D, Extrato!$A:$A, ""), "")</f>
        <v/>
      </c>
      <c r="F741">
        <f>IF(A741&lt;&gt;"", XLOOKUP(A741, Extrato!$D:$D, Extrato!$B:$B, ""), "")</f>
        <v/>
      </c>
      <c r="G741">
        <f>IF(A741&lt;&gt;"", XLOOKUP(A741, Extrato!$D:$D, Extrato!$C:$C, ""), "")</f>
        <v/>
      </c>
      <c r="H741">
        <f>IF(A741="", "", IF(E741="", "Pendente", IF(C741=G741, "OK", "Valor divergente")))</f>
        <v/>
      </c>
    </row>
    <row r="742">
      <c r="A742">
        <f>IF(NF!A740&lt;&gt;"", NF!A740, "")</f>
        <v/>
      </c>
      <c r="B742">
        <f>IF(A742&lt;&gt;"", NF!B740, "")</f>
        <v/>
      </c>
      <c r="C742">
        <f>IF(A742&lt;&gt;"", NF!C740, "")</f>
        <v/>
      </c>
      <c r="D742">
        <f>IF(A742&lt;&gt;"", NF!D740, "")</f>
        <v/>
      </c>
      <c r="E742">
        <f>IF(A742&lt;&gt;"", XLOOKUP(A742, Extrato!$D:$D, Extrato!$A:$A, ""), "")</f>
        <v/>
      </c>
      <c r="F742">
        <f>IF(A742&lt;&gt;"", XLOOKUP(A742, Extrato!$D:$D, Extrato!$B:$B, ""), "")</f>
        <v/>
      </c>
      <c r="G742">
        <f>IF(A742&lt;&gt;"", XLOOKUP(A742, Extrato!$D:$D, Extrato!$C:$C, ""), "")</f>
        <v/>
      </c>
      <c r="H742">
        <f>IF(A742="", "", IF(E742="", "Pendente", IF(C742=G742, "OK", "Valor divergente")))</f>
        <v/>
      </c>
    </row>
    <row r="743">
      <c r="A743">
        <f>IF(NF!A741&lt;&gt;"", NF!A741, "")</f>
        <v/>
      </c>
      <c r="B743">
        <f>IF(A743&lt;&gt;"", NF!B741, "")</f>
        <v/>
      </c>
      <c r="C743">
        <f>IF(A743&lt;&gt;"", NF!C741, "")</f>
        <v/>
      </c>
      <c r="D743">
        <f>IF(A743&lt;&gt;"", NF!D741, "")</f>
        <v/>
      </c>
      <c r="E743">
        <f>IF(A743&lt;&gt;"", XLOOKUP(A743, Extrato!$D:$D, Extrato!$A:$A, ""), "")</f>
        <v/>
      </c>
      <c r="F743">
        <f>IF(A743&lt;&gt;"", XLOOKUP(A743, Extrato!$D:$D, Extrato!$B:$B, ""), "")</f>
        <v/>
      </c>
      <c r="G743">
        <f>IF(A743&lt;&gt;"", XLOOKUP(A743, Extrato!$D:$D, Extrato!$C:$C, ""), "")</f>
        <v/>
      </c>
      <c r="H743">
        <f>IF(A743="", "", IF(E743="", "Pendente", IF(C743=G743, "OK", "Valor divergente")))</f>
        <v/>
      </c>
    </row>
    <row r="744">
      <c r="A744">
        <f>IF(NF!A742&lt;&gt;"", NF!A742, "")</f>
        <v/>
      </c>
      <c r="B744">
        <f>IF(A744&lt;&gt;"", NF!B742, "")</f>
        <v/>
      </c>
      <c r="C744">
        <f>IF(A744&lt;&gt;"", NF!C742, "")</f>
        <v/>
      </c>
      <c r="D744">
        <f>IF(A744&lt;&gt;"", NF!D742, "")</f>
        <v/>
      </c>
      <c r="E744">
        <f>IF(A744&lt;&gt;"", XLOOKUP(A744, Extrato!$D:$D, Extrato!$A:$A, ""), "")</f>
        <v/>
      </c>
      <c r="F744">
        <f>IF(A744&lt;&gt;"", XLOOKUP(A744, Extrato!$D:$D, Extrato!$B:$B, ""), "")</f>
        <v/>
      </c>
      <c r="G744">
        <f>IF(A744&lt;&gt;"", XLOOKUP(A744, Extrato!$D:$D, Extrato!$C:$C, ""), "")</f>
        <v/>
      </c>
      <c r="H744">
        <f>IF(A744="", "", IF(E744="", "Pendente", IF(C744=G744, "OK", "Valor divergente")))</f>
        <v/>
      </c>
    </row>
    <row r="745">
      <c r="A745">
        <f>IF(NF!A743&lt;&gt;"", NF!A743, "")</f>
        <v/>
      </c>
      <c r="B745">
        <f>IF(A745&lt;&gt;"", NF!B743, "")</f>
        <v/>
      </c>
      <c r="C745">
        <f>IF(A745&lt;&gt;"", NF!C743, "")</f>
        <v/>
      </c>
      <c r="D745">
        <f>IF(A745&lt;&gt;"", NF!D743, "")</f>
        <v/>
      </c>
      <c r="E745">
        <f>IF(A745&lt;&gt;"", XLOOKUP(A745, Extrato!$D:$D, Extrato!$A:$A, ""), "")</f>
        <v/>
      </c>
      <c r="F745">
        <f>IF(A745&lt;&gt;"", XLOOKUP(A745, Extrato!$D:$D, Extrato!$B:$B, ""), "")</f>
        <v/>
      </c>
      <c r="G745">
        <f>IF(A745&lt;&gt;"", XLOOKUP(A745, Extrato!$D:$D, Extrato!$C:$C, ""), "")</f>
        <v/>
      </c>
      <c r="H745">
        <f>IF(A745="", "", IF(E745="", "Pendente", IF(C745=G745, "OK", "Valor divergente")))</f>
        <v/>
      </c>
    </row>
    <row r="746">
      <c r="A746">
        <f>IF(NF!A744&lt;&gt;"", NF!A744, "")</f>
        <v/>
      </c>
      <c r="B746">
        <f>IF(A746&lt;&gt;"", NF!B744, "")</f>
        <v/>
      </c>
      <c r="C746">
        <f>IF(A746&lt;&gt;"", NF!C744, "")</f>
        <v/>
      </c>
      <c r="D746">
        <f>IF(A746&lt;&gt;"", NF!D744, "")</f>
        <v/>
      </c>
      <c r="E746">
        <f>IF(A746&lt;&gt;"", XLOOKUP(A746, Extrato!$D:$D, Extrato!$A:$A, ""), "")</f>
        <v/>
      </c>
      <c r="F746">
        <f>IF(A746&lt;&gt;"", XLOOKUP(A746, Extrato!$D:$D, Extrato!$B:$B, ""), "")</f>
        <v/>
      </c>
      <c r="G746">
        <f>IF(A746&lt;&gt;"", XLOOKUP(A746, Extrato!$D:$D, Extrato!$C:$C, ""), "")</f>
        <v/>
      </c>
      <c r="H746">
        <f>IF(A746="", "", IF(E746="", "Pendente", IF(C746=G746, "OK", "Valor divergente")))</f>
        <v/>
      </c>
    </row>
    <row r="747">
      <c r="A747">
        <f>IF(NF!A745&lt;&gt;"", NF!A745, "")</f>
        <v/>
      </c>
      <c r="B747">
        <f>IF(A747&lt;&gt;"", NF!B745, "")</f>
        <v/>
      </c>
      <c r="C747">
        <f>IF(A747&lt;&gt;"", NF!C745, "")</f>
        <v/>
      </c>
      <c r="D747">
        <f>IF(A747&lt;&gt;"", NF!D745, "")</f>
        <v/>
      </c>
      <c r="E747">
        <f>IF(A747&lt;&gt;"", XLOOKUP(A747, Extrato!$D:$D, Extrato!$A:$A, ""), "")</f>
        <v/>
      </c>
      <c r="F747">
        <f>IF(A747&lt;&gt;"", XLOOKUP(A747, Extrato!$D:$D, Extrato!$B:$B, ""), "")</f>
        <v/>
      </c>
      <c r="G747">
        <f>IF(A747&lt;&gt;"", XLOOKUP(A747, Extrato!$D:$D, Extrato!$C:$C, ""), "")</f>
        <v/>
      </c>
      <c r="H747">
        <f>IF(A747="", "", IF(E747="", "Pendente", IF(C747=G747, "OK", "Valor divergente")))</f>
        <v/>
      </c>
    </row>
    <row r="748">
      <c r="A748">
        <f>IF(NF!A746&lt;&gt;"", NF!A746, "")</f>
        <v/>
      </c>
      <c r="B748">
        <f>IF(A748&lt;&gt;"", NF!B746, "")</f>
        <v/>
      </c>
      <c r="C748">
        <f>IF(A748&lt;&gt;"", NF!C746, "")</f>
        <v/>
      </c>
      <c r="D748">
        <f>IF(A748&lt;&gt;"", NF!D746, "")</f>
        <v/>
      </c>
      <c r="E748">
        <f>IF(A748&lt;&gt;"", XLOOKUP(A748, Extrato!$D:$D, Extrato!$A:$A, ""), "")</f>
        <v/>
      </c>
      <c r="F748">
        <f>IF(A748&lt;&gt;"", XLOOKUP(A748, Extrato!$D:$D, Extrato!$B:$B, ""), "")</f>
        <v/>
      </c>
      <c r="G748">
        <f>IF(A748&lt;&gt;"", XLOOKUP(A748, Extrato!$D:$D, Extrato!$C:$C, ""), "")</f>
        <v/>
      </c>
      <c r="H748">
        <f>IF(A748="", "", IF(E748="", "Pendente", IF(C748=G748, "OK", "Valor divergente")))</f>
        <v/>
      </c>
    </row>
    <row r="749">
      <c r="A749">
        <f>IF(NF!A747&lt;&gt;"", NF!A747, "")</f>
        <v/>
      </c>
      <c r="B749">
        <f>IF(A749&lt;&gt;"", NF!B747, "")</f>
        <v/>
      </c>
      <c r="C749">
        <f>IF(A749&lt;&gt;"", NF!C747, "")</f>
        <v/>
      </c>
      <c r="D749">
        <f>IF(A749&lt;&gt;"", NF!D747, "")</f>
        <v/>
      </c>
      <c r="E749">
        <f>IF(A749&lt;&gt;"", XLOOKUP(A749, Extrato!$D:$D, Extrato!$A:$A, ""), "")</f>
        <v/>
      </c>
      <c r="F749">
        <f>IF(A749&lt;&gt;"", XLOOKUP(A749, Extrato!$D:$D, Extrato!$B:$B, ""), "")</f>
        <v/>
      </c>
      <c r="G749">
        <f>IF(A749&lt;&gt;"", XLOOKUP(A749, Extrato!$D:$D, Extrato!$C:$C, ""), "")</f>
        <v/>
      </c>
      <c r="H749">
        <f>IF(A749="", "", IF(E749="", "Pendente", IF(C749=G749, "OK", "Valor divergente")))</f>
        <v/>
      </c>
    </row>
    <row r="750">
      <c r="A750">
        <f>IF(NF!A748&lt;&gt;"", NF!A748, "")</f>
        <v/>
      </c>
      <c r="B750">
        <f>IF(A750&lt;&gt;"", NF!B748, "")</f>
        <v/>
      </c>
      <c r="C750">
        <f>IF(A750&lt;&gt;"", NF!C748, "")</f>
        <v/>
      </c>
      <c r="D750">
        <f>IF(A750&lt;&gt;"", NF!D748, "")</f>
        <v/>
      </c>
      <c r="E750">
        <f>IF(A750&lt;&gt;"", XLOOKUP(A750, Extrato!$D:$D, Extrato!$A:$A, ""), "")</f>
        <v/>
      </c>
      <c r="F750">
        <f>IF(A750&lt;&gt;"", XLOOKUP(A750, Extrato!$D:$D, Extrato!$B:$B, ""), "")</f>
        <v/>
      </c>
      <c r="G750">
        <f>IF(A750&lt;&gt;"", XLOOKUP(A750, Extrato!$D:$D, Extrato!$C:$C, ""), "")</f>
        <v/>
      </c>
      <c r="H750">
        <f>IF(A750="", "", IF(E750="", "Pendente", IF(C750=G750, "OK", "Valor divergente")))</f>
        <v/>
      </c>
    </row>
    <row r="751">
      <c r="A751">
        <f>IF(NF!A749&lt;&gt;"", NF!A749, "")</f>
        <v/>
      </c>
      <c r="B751">
        <f>IF(A751&lt;&gt;"", NF!B749, "")</f>
        <v/>
      </c>
      <c r="C751">
        <f>IF(A751&lt;&gt;"", NF!C749, "")</f>
        <v/>
      </c>
      <c r="D751">
        <f>IF(A751&lt;&gt;"", NF!D749, "")</f>
        <v/>
      </c>
      <c r="E751">
        <f>IF(A751&lt;&gt;"", XLOOKUP(A751, Extrato!$D:$D, Extrato!$A:$A, ""), "")</f>
        <v/>
      </c>
      <c r="F751">
        <f>IF(A751&lt;&gt;"", XLOOKUP(A751, Extrato!$D:$D, Extrato!$B:$B, ""), "")</f>
        <v/>
      </c>
      <c r="G751">
        <f>IF(A751&lt;&gt;"", XLOOKUP(A751, Extrato!$D:$D, Extrato!$C:$C, ""), "")</f>
        <v/>
      </c>
      <c r="H751">
        <f>IF(A751="", "", IF(E751="", "Pendente", IF(C751=G751, "OK", "Valor divergente")))</f>
        <v/>
      </c>
    </row>
    <row r="752">
      <c r="A752">
        <f>IF(NF!A750&lt;&gt;"", NF!A750, "")</f>
        <v/>
      </c>
      <c r="B752">
        <f>IF(A752&lt;&gt;"", NF!B750, "")</f>
        <v/>
      </c>
      <c r="C752">
        <f>IF(A752&lt;&gt;"", NF!C750, "")</f>
        <v/>
      </c>
      <c r="D752">
        <f>IF(A752&lt;&gt;"", NF!D750, "")</f>
        <v/>
      </c>
      <c r="E752">
        <f>IF(A752&lt;&gt;"", XLOOKUP(A752, Extrato!$D:$D, Extrato!$A:$A, ""), "")</f>
        <v/>
      </c>
      <c r="F752">
        <f>IF(A752&lt;&gt;"", XLOOKUP(A752, Extrato!$D:$D, Extrato!$B:$B, ""), "")</f>
        <v/>
      </c>
      <c r="G752">
        <f>IF(A752&lt;&gt;"", XLOOKUP(A752, Extrato!$D:$D, Extrato!$C:$C, ""), "")</f>
        <v/>
      </c>
      <c r="H752">
        <f>IF(A752="", "", IF(E752="", "Pendente", IF(C752=G752, "OK", "Valor divergente")))</f>
        <v/>
      </c>
    </row>
    <row r="753">
      <c r="A753">
        <f>IF(NF!A751&lt;&gt;"", NF!A751, "")</f>
        <v/>
      </c>
      <c r="B753">
        <f>IF(A753&lt;&gt;"", NF!B751, "")</f>
        <v/>
      </c>
      <c r="C753">
        <f>IF(A753&lt;&gt;"", NF!C751, "")</f>
        <v/>
      </c>
      <c r="D753">
        <f>IF(A753&lt;&gt;"", NF!D751, "")</f>
        <v/>
      </c>
      <c r="E753">
        <f>IF(A753&lt;&gt;"", XLOOKUP(A753, Extrato!$D:$D, Extrato!$A:$A, ""), "")</f>
        <v/>
      </c>
      <c r="F753">
        <f>IF(A753&lt;&gt;"", XLOOKUP(A753, Extrato!$D:$D, Extrato!$B:$B, ""), "")</f>
        <v/>
      </c>
      <c r="G753">
        <f>IF(A753&lt;&gt;"", XLOOKUP(A753, Extrato!$D:$D, Extrato!$C:$C, ""), "")</f>
        <v/>
      </c>
      <c r="H753">
        <f>IF(A753="", "", IF(E753="", "Pendente", IF(C753=G753, "OK", "Valor divergente")))</f>
        <v/>
      </c>
    </row>
    <row r="754">
      <c r="A754">
        <f>IF(NF!A752&lt;&gt;"", NF!A752, "")</f>
        <v/>
      </c>
      <c r="B754">
        <f>IF(A754&lt;&gt;"", NF!B752, "")</f>
        <v/>
      </c>
      <c r="C754">
        <f>IF(A754&lt;&gt;"", NF!C752, "")</f>
        <v/>
      </c>
      <c r="D754">
        <f>IF(A754&lt;&gt;"", NF!D752, "")</f>
        <v/>
      </c>
      <c r="E754">
        <f>IF(A754&lt;&gt;"", XLOOKUP(A754, Extrato!$D:$D, Extrato!$A:$A, ""), "")</f>
        <v/>
      </c>
      <c r="F754">
        <f>IF(A754&lt;&gt;"", XLOOKUP(A754, Extrato!$D:$D, Extrato!$B:$B, ""), "")</f>
        <v/>
      </c>
      <c r="G754">
        <f>IF(A754&lt;&gt;"", XLOOKUP(A754, Extrato!$D:$D, Extrato!$C:$C, ""), "")</f>
        <v/>
      </c>
      <c r="H754">
        <f>IF(A754="", "", IF(E754="", "Pendente", IF(C754=G754, "OK", "Valor divergente")))</f>
        <v/>
      </c>
    </row>
    <row r="755">
      <c r="A755">
        <f>IF(NF!A753&lt;&gt;"", NF!A753, "")</f>
        <v/>
      </c>
      <c r="B755">
        <f>IF(A755&lt;&gt;"", NF!B753, "")</f>
        <v/>
      </c>
      <c r="C755">
        <f>IF(A755&lt;&gt;"", NF!C753, "")</f>
        <v/>
      </c>
      <c r="D755">
        <f>IF(A755&lt;&gt;"", NF!D753, "")</f>
        <v/>
      </c>
      <c r="E755">
        <f>IF(A755&lt;&gt;"", XLOOKUP(A755, Extrato!$D:$D, Extrato!$A:$A, ""), "")</f>
        <v/>
      </c>
      <c r="F755">
        <f>IF(A755&lt;&gt;"", XLOOKUP(A755, Extrato!$D:$D, Extrato!$B:$B, ""), "")</f>
        <v/>
      </c>
      <c r="G755">
        <f>IF(A755&lt;&gt;"", XLOOKUP(A755, Extrato!$D:$D, Extrato!$C:$C, ""), "")</f>
        <v/>
      </c>
      <c r="H755">
        <f>IF(A755="", "", IF(E755="", "Pendente", IF(C755=G755, "OK", "Valor divergente")))</f>
        <v/>
      </c>
    </row>
    <row r="756">
      <c r="A756">
        <f>IF(NF!A754&lt;&gt;"", NF!A754, "")</f>
        <v/>
      </c>
      <c r="B756">
        <f>IF(A756&lt;&gt;"", NF!B754, "")</f>
        <v/>
      </c>
      <c r="C756">
        <f>IF(A756&lt;&gt;"", NF!C754, "")</f>
        <v/>
      </c>
      <c r="D756">
        <f>IF(A756&lt;&gt;"", NF!D754, "")</f>
        <v/>
      </c>
      <c r="E756">
        <f>IF(A756&lt;&gt;"", XLOOKUP(A756, Extrato!$D:$D, Extrato!$A:$A, ""), "")</f>
        <v/>
      </c>
      <c r="F756">
        <f>IF(A756&lt;&gt;"", XLOOKUP(A756, Extrato!$D:$D, Extrato!$B:$B, ""), "")</f>
        <v/>
      </c>
      <c r="G756">
        <f>IF(A756&lt;&gt;"", XLOOKUP(A756, Extrato!$D:$D, Extrato!$C:$C, ""), "")</f>
        <v/>
      </c>
      <c r="H756">
        <f>IF(A756="", "", IF(E756="", "Pendente", IF(C756=G756, "OK", "Valor divergente")))</f>
        <v/>
      </c>
    </row>
    <row r="757">
      <c r="A757">
        <f>IF(NF!A755&lt;&gt;"", NF!A755, "")</f>
        <v/>
      </c>
      <c r="B757">
        <f>IF(A757&lt;&gt;"", NF!B755, "")</f>
        <v/>
      </c>
      <c r="C757">
        <f>IF(A757&lt;&gt;"", NF!C755, "")</f>
        <v/>
      </c>
      <c r="D757">
        <f>IF(A757&lt;&gt;"", NF!D755, "")</f>
        <v/>
      </c>
      <c r="E757">
        <f>IF(A757&lt;&gt;"", XLOOKUP(A757, Extrato!$D:$D, Extrato!$A:$A, ""), "")</f>
        <v/>
      </c>
      <c r="F757">
        <f>IF(A757&lt;&gt;"", XLOOKUP(A757, Extrato!$D:$D, Extrato!$B:$B, ""), "")</f>
        <v/>
      </c>
      <c r="G757">
        <f>IF(A757&lt;&gt;"", XLOOKUP(A757, Extrato!$D:$D, Extrato!$C:$C, ""), "")</f>
        <v/>
      </c>
      <c r="H757">
        <f>IF(A757="", "", IF(E757="", "Pendente", IF(C757=G757, "OK", "Valor divergente")))</f>
        <v/>
      </c>
    </row>
    <row r="758">
      <c r="A758">
        <f>IF(NF!A756&lt;&gt;"", NF!A756, "")</f>
        <v/>
      </c>
      <c r="B758">
        <f>IF(A758&lt;&gt;"", NF!B756, "")</f>
        <v/>
      </c>
      <c r="C758">
        <f>IF(A758&lt;&gt;"", NF!C756, "")</f>
        <v/>
      </c>
      <c r="D758">
        <f>IF(A758&lt;&gt;"", NF!D756, "")</f>
        <v/>
      </c>
      <c r="E758">
        <f>IF(A758&lt;&gt;"", XLOOKUP(A758, Extrato!$D:$D, Extrato!$A:$A, ""), "")</f>
        <v/>
      </c>
      <c r="F758">
        <f>IF(A758&lt;&gt;"", XLOOKUP(A758, Extrato!$D:$D, Extrato!$B:$B, ""), "")</f>
        <v/>
      </c>
      <c r="G758">
        <f>IF(A758&lt;&gt;"", XLOOKUP(A758, Extrato!$D:$D, Extrato!$C:$C, ""), "")</f>
        <v/>
      </c>
      <c r="H758">
        <f>IF(A758="", "", IF(E758="", "Pendente", IF(C758=G758, "OK", "Valor divergente")))</f>
        <v/>
      </c>
    </row>
    <row r="759">
      <c r="A759">
        <f>IF(NF!A757&lt;&gt;"", NF!A757, "")</f>
        <v/>
      </c>
      <c r="B759">
        <f>IF(A759&lt;&gt;"", NF!B757, "")</f>
        <v/>
      </c>
      <c r="C759">
        <f>IF(A759&lt;&gt;"", NF!C757, "")</f>
        <v/>
      </c>
      <c r="D759">
        <f>IF(A759&lt;&gt;"", NF!D757, "")</f>
        <v/>
      </c>
      <c r="E759">
        <f>IF(A759&lt;&gt;"", XLOOKUP(A759, Extrato!$D:$D, Extrato!$A:$A, ""), "")</f>
        <v/>
      </c>
      <c r="F759">
        <f>IF(A759&lt;&gt;"", XLOOKUP(A759, Extrato!$D:$D, Extrato!$B:$B, ""), "")</f>
        <v/>
      </c>
      <c r="G759">
        <f>IF(A759&lt;&gt;"", XLOOKUP(A759, Extrato!$D:$D, Extrato!$C:$C, ""), "")</f>
        <v/>
      </c>
      <c r="H759">
        <f>IF(A759="", "", IF(E759="", "Pendente", IF(C759=G759, "OK", "Valor divergente")))</f>
        <v/>
      </c>
    </row>
    <row r="760">
      <c r="A760">
        <f>IF(NF!A758&lt;&gt;"", NF!A758, "")</f>
        <v/>
      </c>
      <c r="B760">
        <f>IF(A760&lt;&gt;"", NF!B758, "")</f>
        <v/>
      </c>
      <c r="C760">
        <f>IF(A760&lt;&gt;"", NF!C758, "")</f>
        <v/>
      </c>
      <c r="D760">
        <f>IF(A760&lt;&gt;"", NF!D758, "")</f>
        <v/>
      </c>
      <c r="E760">
        <f>IF(A760&lt;&gt;"", XLOOKUP(A760, Extrato!$D:$D, Extrato!$A:$A, ""), "")</f>
        <v/>
      </c>
      <c r="F760">
        <f>IF(A760&lt;&gt;"", XLOOKUP(A760, Extrato!$D:$D, Extrato!$B:$B, ""), "")</f>
        <v/>
      </c>
      <c r="G760">
        <f>IF(A760&lt;&gt;"", XLOOKUP(A760, Extrato!$D:$D, Extrato!$C:$C, ""), "")</f>
        <v/>
      </c>
      <c r="H760">
        <f>IF(A760="", "", IF(E760="", "Pendente", IF(C760=G760, "OK", "Valor divergente")))</f>
        <v/>
      </c>
    </row>
    <row r="761">
      <c r="A761">
        <f>IF(NF!A759&lt;&gt;"", NF!A759, "")</f>
        <v/>
      </c>
      <c r="B761">
        <f>IF(A761&lt;&gt;"", NF!B759, "")</f>
        <v/>
      </c>
      <c r="C761">
        <f>IF(A761&lt;&gt;"", NF!C759, "")</f>
        <v/>
      </c>
      <c r="D761">
        <f>IF(A761&lt;&gt;"", NF!D759, "")</f>
        <v/>
      </c>
      <c r="E761">
        <f>IF(A761&lt;&gt;"", XLOOKUP(A761, Extrato!$D:$D, Extrato!$A:$A, ""), "")</f>
        <v/>
      </c>
      <c r="F761">
        <f>IF(A761&lt;&gt;"", XLOOKUP(A761, Extrato!$D:$D, Extrato!$B:$B, ""), "")</f>
        <v/>
      </c>
      <c r="G761">
        <f>IF(A761&lt;&gt;"", XLOOKUP(A761, Extrato!$D:$D, Extrato!$C:$C, ""), "")</f>
        <v/>
      </c>
      <c r="H761">
        <f>IF(A761="", "", IF(E761="", "Pendente", IF(C761=G761, "OK", "Valor divergente")))</f>
        <v/>
      </c>
    </row>
    <row r="762">
      <c r="A762">
        <f>IF(NF!A760&lt;&gt;"", NF!A760, "")</f>
        <v/>
      </c>
      <c r="B762">
        <f>IF(A762&lt;&gt;"", NF!B760, "")</f>
        <v/>
      </c>
      <c r="C762">
        <f>IF(A762&lt;&gt;"", NF!C760, "")</f>
        <v/>
      </c>
      <c r="D762">
        <f>IF(A762&lt;&gt;"", NF!D760, "")</f>
        <v/>
      </c>
      <c r="E762">
        <f>IF(A762&lt;&gt;"", XLOOKUP(A762, Extrato!$D:$D, Extrato!$A:$A, ""), "")</f>
        <v/>
      </c>
      <c r="F762">
        <f>IF(A762&lt;&gt;"", XLOOKUP(A762, Extrato!$D:$D, Extrato!$B:$B, ""), "")</f>
        <v/>
      </c>
      <c r="G762">
        <f>IF(A762&lt;&gt;"", XLOOKUP(A762, Extrato!$D:$D, Extrato!$C:$C, ""), "")</f>
        <v/>
      </c>
      <c r="H762">
        <f>IF(A762="", "", IF(E762="", "Pendente", IF(C762=G762, "OK", "Valor divergente")))</f>
        <v/>
      </c>
    </row>
    <row r="763">
      <c r="A763">
        <f>IF(NF!A761&lt;&gt;"", NF!A761, "")</f>
        <v/>
      </c>
      <c r="B763">
        <f>IF(A763&lt;&gt;"", NF!B761, "")</f>
        <v/>
      </c>
      <c r="C763">
        <f>IF(A763&lt;&gt;"", NF!C761, "")</f>
        <v/>
      </c>
      <c r="D763">
        <f>IF(A763&lt;&gt;"", NF!D761, "")</f>
        <v/>
      </c>
      <c r="E763">
        <f>IF(A763&lt;&gt;"", XLOOKUP(A763, Extrato!$D:$D, Extrato!$A:$A, ""), "")</f>
        <v/>
      </c>
      <c r="F763">
        <f>IF(A763&lt;&gt;"", XLOOKUP(A763, Extrato!$D:$D, Extrato!$B:$B, ""), "")</f>
        <v/>
      </c>
      <c r="G763">
        <f>IF(A763&lt;&gt;"", XLOOKUP(A763, Extrato!$D:$D, Extrato!$C:$C, ""), "")</f>
        <v/>
      </c>
      <c r="H763">
        <f>IF(A763="", "", IF(E763="", "Pendente", IF(C763=G763, "OK", "Valor divergente")))</f>
        <v/>
      </c>
    </row>
    <row r="764">
      <c r="A764">
        <f>IF(NF!A762&lt;&gt;"", NF!A762, "")</f>
        <v/>
      </c>
      <c r="B764">
        <f>IF(A764&lt;&gt;"", NF!B762, "")</f>
        <v/>
      </c>
      <c r="C764">
        <f>IF(A764&lt;&gt;"", NF!C762, "")</f>
        <v/>
      </c>
      <c r="D764">
        <f>IF(A764&lt;&gt;"", NF!D762, "")</f>
        <v/>
      </c>
      <c r="E764">
        <f>IF(A764&lt;&gt;"", XLOOKUP(A764, Extrato!$D:$D, Extrato!$A:$A, ""), "")</f>
        <v/>
      </c>
      <c r="F764">
        <f>IF(A764&lt;&gt;"", XLOOKUP(A764, Extrato!$D:$D, Extrato!$B:$B, ""), "")</f>
        <v/>
      </c>
      <c r="G764">
        <f>IF(A764&lt;&gt;"", XLOOKUP(A764, Extrato!$D:$D, Extrato!$C:$C, ""), "")</f>
        <v/>
      </c>
      <c r="H764">
        <f>IF(A764="", "", IF(E764="", "Pendente", IF(C764=G764, "OK", "Valor divergente")))</f>
        <v/>
      </c>
    </row>
    <row r="765">
      <c r="A765">
        <f>IF(NF!A763&lt;&gt;"", NF!A763, "")</f>
        <v/>
      </c>
      <c r="B765">
        <f>IF(A765&lt;&gt;"", NF!B763, "")</f>
        <v/>
      </c>
      <c r="C765">
        <f>IF(A765&lt;&gt;"", NF!C763, "")</f>
        <v/>
      </c>
      <c r="D765">
        <f>IF(A765&lt;&gt;"", NF!D763, "")</f>
        <v/>
      </c>
      <c r="E765">
        <f>IF(A765&lt;&gt;"", XLOOKUP(A765, Extrato!$D:$D, Extrato!$A:$A, ""), "")</f>
        <v/>
      </c>
      <c r="F765">
        <f>IF(A765&lt;&gt;"", XLOOKUP(A765, Extrato!$D:$D, Extrato!$B:$B, ""), "")</f>
        <v/>
      </c>
      <c r="G765">
        <f>IF(A765&lt;&gt;"", XLOOKUP(A765, Extrato!$D:$D, Extrato!$C:$C, ""), "")</f>
        <v/>
      </c>
      <c r="H765">
        <f>IF(A765="", "", IF(E765="", "Pendente", IF(C765=G765, "OK", "Valor divergente")))</f>
        <v/>
      </c>
    </row>
    <row r="766">
      <c r="A766">
        <f>IF(NF!A764&lt;&gt;"", NF!A764, "")</f>
        <v/>
      </c>
      <c r="B766">
        <f>IF(A766&lt;&gt;"", NF!B764, "")</f>
        <v/>
      </c>
      <c r="C766">
        <f>IF(A766&lt;&gt;"", NF!C764, "")</f>
        <v/>
      </c>
      <c r="D766">
        <f>IF(A766&lt;&gt;"", NF!D764, "")</f>
        <v/>
      </c>
      <c r="E766">
        <f>IF(A766&lt;&gt;"", XLOOKUP(A766, Extrato!$D:$D, Extrato!$A:$A, ""), "")</f>
        <v/>
      </c>
      <c r="F766">
        <f>IF(A766&lt;&gt;"", XLOOKUP(A766, Extrato!$D:$D, Extrato!$B:$B, ""), "")</f>
        <v/>
      </c>
      <c r="G766">
        <f>IF(A766&lt;&gt;"", XLOOKUP(A766, Extrato!$D:$D, Extrato!$C:$C, ""), "")</f>
        <v/>
      </c>
      <c r="H766">
        <f>IF(A766="", "", IF(E766="", "Pendente", IF(C766=G766, "OK", "Valor divergente")))</f>
        <v/>
      </c>
    </row>
    <row r="767">
      <c r="A767">
        <f>IF(NF!A765&lt;&gt;"", NF!A765, "")</f>
        <v/>
      </c>
      <c r="B767">
        <f>IF(A767&lt;&gt;"", NF!B765, "")</f>
        <v/>
      </c>
      <c r="C767">
        <f>IF(A767&lt;&gt;"", NF!C765, "")</f>
        <v/>
      </c>
      <c r="D767">
        <f>IF(A767&lt;&gt;"", NF!D765, "")</f>
        <v/>
      </c>
      <c r="E767">
        <f>IF(A767&lt;&gt;"", XLOOKUP(A767, Extrato!$D:$D, Extrato!$A:$A, ""), "")</f>
        <v/>
      </c>
      <c r="F767">
        <f>IF(A767&lt;&gt;"", XLOOKUP(A767, Extrato!$D:$D, Extrato!$B:$B, ""), "")</f>
        <v/>
      </c>
      <c r="G767">
        <f>IF(A767&lt;&gt;"", XLOOKUP(A767, Extrato!$D:$D, Extrato!$C:$C, ""), "")</f>
        <v/>
      </c>
      <c r="H767">
        <f>IF(A767="", "", IF(E767="", "Pendente", IF(C767=G767, "OK", "Valor divergente")))</f>
        <v/>
      </c>
    </row>
    <row r="768">
      <c r="A768">
        <f>IF(NF!A766&lt;&gt;"", NF!A766, "")</f>
        <v/>
      </c>
      <c r="B768">
        <f>IF(A768&lt;&gt;"", NF!B766, "")</f>
        <v/>
      </c>
      <c r="C768">
        <f>IF(A768&lt;&gt;"", NF!C766, "")</f>
        <v/>
      </c>
      <c r="D768">
        <f>IF(A768&lt;&gt;"", NF!D766, "")</f>
        <v/>
      </c>
      <c r="E768">
        <f>IF(A768&lt;&gt;"", XLOOKUP(A768, Extrato!$D:$D, Extrato!$A:$A, ""), "")</f>
        <v/>
      </c>
      <c r="F768">
        <f>IF(A768&lt;&gt;"", XLOOKUP(A768, Extrato!$D:$D, Extrato!$B:$B, ""), "")</f>
        <v/>
      </c>
      <c r="G768">
        <f>IF(A768&lt;&gt;"", XLOOKUP(A768, Extrato!$D:$D, Extrato!$C:$C, ""), "")</f>
        <v/>
      </c>
      <c r="H768">
        <f>IF(A768="", "", IF(E768="", "Pendente", IF(C768=G768, "OK", "Valor divergente")))</f>
        <v/>
      </c>
    </row>
    <row r="769">
      <c r="A769">
        <f>IF(NF!A767&lt;&gt;"", NF!A767, "")</f>
        <v/>
      </c>
      <c r="B769">
        <f>IF(A769&lt;&gt;"", NF!B767, "")</f>
        <v/>
      </c>
      <c r="C769">
        <f>IF(A769&lt;&gt;"", NF!C767, "")</f>
        <v/>
      </c>
      <c r="D769">
        <f>IF(A769&lt;&gt;"", NF!D767, "")</f>
        <v/>
      </c>
      <c r="E769">
        <f>IF(A769&lt;&gt;"", XLOOKUP(A769, Extrato!$D:$D, Extrato!$A:$A, ""), "")</f>
        <v/>
      </c>
      <c r="F769">
        <f>IF(A769&lt;&gt;"", XLOOKUP(A769, Extrato!$D:$D, Extrato!$B:$B, ""), "")</f>
        <v/>
      </c>
      <c r="G769">
        <f>IF(A769&lt;&gt;"", XLOOKUP(A769, Extrato!$D:$D, Extrato!$C:$C, ""), "")</f>
        <v/>
      </c>
      <c r="H769">
        <f>IF(A769="", "", IF(E769="", "Pendente", IF(C769=G769, "OK", "Valor divergente")))</f>
        <v/>
      </c>
    </row>
    <row r="770">
      <c r="A770">
        <f>IF(NF!A768&lt;&gt;"", NF!A768, "")</f>
        <v/>
      </c>
      <c r="B770">
        <f>IF(A770&lt;&gt;"", NF!B768, "")</f>
        <v/>
      </c>
      <c r="C770">
        <f>IF(A770&lt;&gt;"", NF!C768, "")</f>
        <v/>
      </c>
      <c r="D770">
        <f>IF(A770&lt;&gt;"", NF!D768, "")</f>
        <v/>
      </c>
      <c r="E770">
        <f>IF(A770&lt;&gt;"", XLOOKUP(A770, Extrato!$D:$D, Extrato!$A:$A, ""), "")</f>
        <v/>
      </c>
      <c r="F770">
        <f>IF(A770&lt;&gt;"", XLOOKUP(A770, Extrato!$D:$D, Extrato!$B:$B, ""), "")</f>
        <v/>
      </c>
      <c r="G770">
        <f>IF(A770&lt;&gt;"", XLOOKUP(A770, Extrato!$D:$D, Extrato!$C:$C, ""), "")</f>
        <v/>
      </c>
      <c r="H770">
        <f>IF(A770="", "", IF(E770="", "Pendente", IF(C770=G770, "OK", "Valor divergente")))</f>
        <v/>
      </c>
    </row>
    <row r="771">
      <c r="A771">
        <f>IF(NF!A769&lt;&gt;"", NF!A769, "")</f>
        <v/>
      </c>
      <c r="B771">
        <f>IF(A771&lt;&gt;"", NF!B769, "")</f>
        <v/>
      </c>
      <c r="C771">
        <f>IF(A771&lt;&gt;"", NF!C769, "")</f>
        <v/>
      </c>
      <c r="D771">
        <f>IF(A771&lt;&gt;"", NF!D769, "")</f>
        <v/>
      </c>
      <c r="E771">
        <f>IF(A771&lt;&gt;"", XLOOKUP(A771, Extrato!$D:$D, Extrato!$A:$A, ""), "")</f>
        <v/>
      </c>
      <c r="F771">
        <f>IF(A771&lt;&gt;"", XLOOKUP(A771, Extrato!$D:$D, Extrato!$B:$B, ""), "")</f>
        <v/>
      </c>
      <c r="G771">
        <f>IF(A771&lt;&gt;"", XLOOKUP(A771, Extrato!$D:$D, Extrato!$C:$C, ""), "")</f>
        <v/>
      </c>
      <c r="H771">
        <f>IF(A771="", "", IF(E771="", "Pendente", IF(C771=G771, "OK", "Valor divergente")))</f>
        <v/>
      </c>
    </row>
    <row r="772">
      <c r="A772">
        <f>IF(NF!A770&lt;&gt;"", NF!A770, "")</f>
        <v/>
      </c>
      <c r="B772">
        <f>IF(A772&lt;&gt;"", NF!B770, "")</f>
        <v/>
      </c>
      <c r="C772">
        <f>IF(A772&lt;&gt;"", NF!C770, "")</f>
        <v/>
      </c>
      <c r="D772">
        <f>IF(A772&lt;&gt;"", NF!D770, "")</f>
        <v/>
      </c>
      <c r="E772">
        <f>IF(A772&lt;&gt;"", XLOOKUP(A772, Extrato!$D:$D, Extrato!$A:$A, ""), "")</f>
        <v/>
      </c>
      <c r="F772">
        <f>IF(A772&lt;&gt;"", XLOOKUP(A772, Extrato!$D:$D, Extrato!$B:$B, ""), "")</f>
        <v/>
      </c>
      <c r="G772">
        <f>IF(A772&lt;&gt;"", XLOOKUP(A772, Extrato!$D:$D, Extrato!$C:$C, ""), "")</f>
        <v/>
      </c>
      <c r="H772">
        <f>IF(A772="", "", IF(E772="", "Pendente", IF(C772=G772, "OK", "Valor divergente")))</f>
        <v/>
      </c>
    </row>
    <row r="773">
      <c r="A773">
        <f>IF(NF!A771&lt;&gt;"", NF!A771, "")</f>
        <v/>
      </c>
      <c r="B773">
        <f>IF(A773&lt;&gt;"", NF!B771, "")</f>
        <v/>
      </c>
      <c r="C773">
        <f>IF(A773&lt;&gt;"", NF!C771, "")</f>
        <v/>
      </c>
      <c r="D773">
        <f>IF(A773&lt;&gt;"", NF!D771, "")</f>
        <v/>
      </c>
      <c r="E773">
        <f>IF(A773&lt;&gt;"", XLOOKUP(A773, Extrato!$D:$D, Extrato!$A:$A, ""), "")</f>
        <v/>
      </c>
      <c r="F773">
        <f>IF(A773&lt;&gt;"", XLOOKUP(A773, Extrato!$D:$D, Extrato!$B:$B, ""), "")</f>
        <v/>
      </c>
      <c r="G773">
        <f>IF(A773&lt;&gt;"", XLOOKUP(A773, Extrato!$D:$D, Extrato!$C:$C, ""), "")</f>
        <v/>
      </c>
      <c r="H773">
        <f>IF(A773="", "", IF(E773="", "Pendente", IF(C773=G773, "OK", "Valor divergente")))</f>
        <v/>
      </c>
    </row>
    <row r="774">
      <c r="A774">
        <f>IF(NF!A772&lt;&gt;"", NF!A772, "")</f>
        <v/>
      </c>
      <c r="B774">
        <f>IF(A774&lt;&gt;"", NF!B772, "")</f>
        <v/>
      </c>
      <c r="C774">
        <f>IF(A774&lt;&gt;"", NF!C772, "")</f>
        <v/>
      </c>
      <c r="D774">
        <f>IF(A774&lt;&gt;"", NF!D772, "")</f>
        <v/>
      </c>
      <c r="E774">
        <f>IF(A774&lt;&gt;"", XLOOKUP(A774, Extrato!$D:$D, Extrato!$A:$A, ""), "")</f>
        <v/>
      </c>
      <c r="F774">
        <f>IF(A774&lt;&gt;"", XLOOKUP(A774, Extrato!$D:$D, Extrato!$B:$B, ""), "")</f>
        <v/>
      </c>
      <c r="G774">
        <f>IF(A774&lt;&gt;"", XLOOKUP(A774, Extrato!$D:$D, Extrato!$C:$C, ""), "")</f>
        <v/>
      </c>
      <c r="H774">
        <f>IF(A774="", "", IF(E774="", "Pendente", IF(C774=G774, "OK", "Valor divergente")))</f>
        <v/>
      </c>
    </row>
    <row r="775">
      <c r="A775">
        <f>IF(NF!A773&lt;&gt;"", NF!A773, "")</f>
        <v/>
      </c>
      <c r="B775">
        <f>IF(A775&lt;&gt;"", NF!B773, "")</f>
        <v/>
      </c>
      <c r="C775">
        <f>IF(A775&lt;&gt;"", NF!C773, "")</f>
        <v/>
      </c>
      <c r="D775">
        <f>IF(A775&lt;&gt;"", NF!D773, "")</f>
        <v/>
      </c>
      <c r="E775">
        <f>IF(A775&lt;&gt;"", XLOOKUP(A775, Extrato!$D:$D, Extrato!$A:$A, ""), "")</f>
        <v/>
      </c>
      <c r="F775">
        <f>IF(A775&lt;&gt;"", XLOOKUP(A775, Extrato!$D:$D, Extrato!$B:$B, ""), "")</f>
        <v/>
      </c>
      <c r="G775">
        <f>IF(A775&lt;&gt;"", XLOOKUP(A775, Extrato!$D:$D, Extrato!$C:$C, ""), "")</f>
        <v/>
      </c>
      <c r="H775">
        <f>IF(A775="", "", IF(E775="", "Pendente", IF(C775=G775, "OK", "Valor divergente")))</f>
        <v/>
      </c>
    </row>
    <row r="776">
      <c r="A776">
        <f>IF(NF!A774&lt;&gt;"", NF!A774, "")</f>
        <v/>
      </c>
      <c r="B776">
        <f>IF(A776&lt;&gt;"", NF!B774, "")</f>
        <v/>
      </c>
      <c r="C776">
        <f>IF(A776&lt;&gt;"", NF!C774, "")</f>
        <v/>
      </c>
      <c r="D776">
        <f>IF(A776&lt;&gt;"", NF!D774, "")</f>
        <v/>
      </c>
      <c r="E776">
        <f>IF(A776&lt;&gt;"", XLOOKUP(A776, Extrato!$D:$D, Extrato!$A:$A, ""), "")</f>
        <v/>
      </c>
      <c r="F776">
        <f>IF(A776&lt;&gt;"", XLOOKUP(A776, Extrato!$D:$D, Extrato!$B:$B, ""), "")</f>
        <v/>
      </c>
      <c r="G776">
        <f>IF(A776&lt;&gt;"", XLOOKUP(A776, Extrato!$D:$D, Extrato!$C:$C, ""), "")</f>
        <v/>
      </c>
      <c r="H776">
        <f>IF(A776="", "", IF(E776="", "Pendente", IF(C776=G776, "OK", "Valor divergente")))</f>
        <v/>
      </c>
    </row>
    <row r="777">
      <c r="A777">
        <f>IF(NF!A775&lt;&gt;"", NF!A775, "")</f>
        <v/>
      </c>
      <c r="B777">
        <f>IF(A777&lt;&gt;"", NF!B775, "")</f>
        <v/>
      </c>
      <c r="C777">
        <f>IF(A777&lt;&gt;"", NF!C775, "")</f>
        <v/>
      </c>
      <c r="D777">
        <f>IF(A777&lt;&gt;"", NF!D775, "")</f>
        <v/>
      </c>
      <c r="E777">
        <f>IF(A777&lt;&gt;"", XLOOKUP(A777, Extrato!$D:$D, Extrato!$A:$A, ""), "")</f>
        <v/>
      </c>
      <c r="F777">
        <f>IF(A777&lt;&gt;"", XLOOKUP(A777, Extrato!$D:$D, Extrato!$B:$B, ""), "")</f>
        <v/>
      </c>
      <c r="G777">
        <f>IF(A777&lt;&gt;"", XLOOKUP(A777, Extrato!$D:$D, Extrato!$C:$C, ""), "")</f>
        <v/>
      </c>
      <c r="H777">
        <f>IF(A777="", "", IF(E777="", "Pendente", IF(C777=G777, "OK", "Valor divergente")))</f>
        <v/>
      </c>
    </row>
    <row r="778">
      <c r="A778">
        <f>IF(NF!A776&lt;&gt;"", NF!A776, "")</f>
        <v/>
      </c>
      <c r="B778">
        <f>IF(A778&lt;&gt;"", NF!B776, "")</f>
        <v/>
      </c>
      <c r="C778">
        <f>IF(A778&lt;&gt;"", NF!C776, "")</f>
        <v/>
      </c>
      <c r="D778">
        <f>IF(A778&lt;&gt;"", NF!D776, "")</f>
        <v/>
      </c>
      <c r="E778">
        <f>IF(A778&lt;&gt;"", XLOOKUP(A778, Extrato!$D:$D, Extrato!$A:$A, ""), "")</f>
        <v/>
      </c>
      <c r="F778">
        <f>IF(A778&lt;&gt;"", XLOOKUP(A778, Extrato!$D:$D, Extrato!$B:$B, ""), "")</f>
        <v/>
      </c>
      <c r="G778">
        <f>IF(A778&lt;&gt;"", XLOOKUP(A778, Extrato!$D:$D, Extrato!$C:$C, ""), "")</f>
        <v/>
      </c>
      <c r="H778">
        <f>IF(A778="", "", IF(E778="", "Pendente", IF(C778=G778, "OK", "Valor divergente")))</f>
        <v/>
      </c>
    </row>
    <row r="779">
      <c r="A779">
        <f>IF(NF!A777&lt;&gt;"", NF!A777, "")</f>
        <v/>
      </c>
      <c r="B779">
        <f>IF(A779&lt;&gt;"", NF!B777, "")</f>
        <v/>
      </c>
      <c r="C779">
        <f>IF(A779&lt;&gt;"", NF!C777, "")</f>
        <v/>
      </c>
      <c r="D779">
        <f>IF(A779&lt;&gt;"", NF!D777, "")</f>
        <v/>
      </c>
      <c r="E779">
        <f>IF(A779&lt;&gt;"", XLOOKUP(A779, Extrato!$D:$D, Extrato!$A:$A, ""), "")</f>
        <v/>
      </c>
      <c r="F779">
        <f>IF(A779&lt;&gt;"", XLOOKUP(A779, Extrato!$D:$D, Extrato!$B:$B, ""), "")</f>
        <v/>
      </c>
      <c r="G779">
        <f>IF(A779&lt;&gt;"", XLOOKUP(A779, Extrato!$D:$D, Extrato!$C:$C, ""), "")</f>
        <v/>
      </c>
      <c r="H779">
        <f>IF(A779="", "", IF(E779="", "Pendente", IF(C779=G779, "OK", "Valor divergente")))</f>
        <v/>
      </c>
    </row>
    <row r="780">
      <c r="A780">
        <f>IF(NF!A778&lt;&gt;"", NF!A778, "")</f>
        <v/>
      </c>
      <c r="B780">
        <f>IF(A780&lt;&gt;"", NF!B778, "")</f>
        <v/>
      </c>
      <c r="C780">
        <f>IF(A780&lt;&gt;"", NF!C778, "")</f>
        <v/>
      </c>
      <c r="D780">
        <f>IF(A780&lt;&gt;"", NF!D778, "")</f>
        <v/>
      </c>
      <c r="E780">
        <f>IF(A780&lt;&gt;"", XLOOKUP(A780, Extrato!$D:$D, Extrato!$A:$A, ""), "")</f>
        <v/>
      </c>
      <c r="F780">
        <f>IF(A780&lt;&gt;"", XLOOKUP(A780, Extrato!$D:$D, Extrato!$B:$B, ""), "")</f>
        <v/>
      </c>
      <c r="G780">
        <f>IF(A780&lt;&gt;"", XLOOKUP(A780, Extrato!$D:$D, Extrato!$C:$C, ""), "")</f>
        <v/>
      </c>
      <c r="H780">
        <f>IF(A780="", "", IF(E780="", "Pendente", IF(C780=G780, "OK", "Valor divergente")))</f>
        <v/>
      </c>
    </row>
    <row r="781">
      <c r="A781">
        <f>IF(NF!A779&lt;&gt;"", NF!A779, "")</f>
        <v/>
      </c>
      <c r="B781">
        <f>IF(A781&lt;&gt;"", NF!B779, "")</f>
        <v/>
      </c>
      <c r="C781">
        <f>IF(A781&lt;&gt;"", NF!C779, "")</f>
        <v/>
      </c>
      <c r="D781">
        <f>IF(A781&lt;&gt;"", NF!D779, "")</f>
        <v/>
      </c>
      <c r="E781">
        <f>IF(A781&lt;&gt;"", XLOOKUP(A781, Extrato!$D:$D, Extrato!$A:$A, ""), "")</f>
        <v/>
      </c>
      <c r="F781">
        <f>IF(A781&lt;&gt;"", XLOOKUP(A781, Extrato!$D:$D, Extrato!$B:$B, ""), "")</f>
        <v/>
      </c>
      <c r="G781">
        <f>IF(A781&lt;&gt;"", XLOOKUP(A781, Extrato!$D:$D, Extrato!$C:$C, ""), "")</f>
        <v/>
      </c>
      <c r="H781">
        <f>IF(A781="", "", IF(E781="", "Pendente", IF(C781=G781, "OK", "Valor divergente")))</f>
        <v/>
      </c>
    </row>
    <row r="782">
      <c r="A782">
        <f>IF(NF!A780&lt;&gt;"", NF!A780, "")</f>
        <v/>
      </c>
      <c r="B782">
        <f>IF(A782&lt;&gt;"", NF!B780, "")</f>
        <v/>
      </c>
      <c r="C782">
        <f>IF(A782&lt;&gt;"", NF!C780, "")</f>
        <v/>
      </c>
      <c r="D782">
        <f>IF(A782&lt;&gt;"", NF!D780, "")</f>
        <v/>
      </c>
      <c r="E782">
        <f>IF(A782&lt;&gt;"", XLOOKUP(A782, Extrato!$D:$D, Extrato!$A:$A, ""), "")</f>
        <v/>
      </c>
      <c r="F782">
        <f>IF(A782&lt;&gt;"", XLOOKUP(A782, Extrato!$D:$D, Extrato!$B:$B, ""), "")</f>
        <v/>
      </c>
      <c r="G782">
        <f>IF(A782&lt;&gt;"", XLOOKUP(A782, Extrato!$D:$D, Extrato!$C:$C, ""), "")</f>
        <v/>
      </c>
      <c r="H782">
        <f>IF(A782="", "", IF(E782="", "Pendente", IF(C782=G782, "OK", "Valor divergente")))</f>
        <v/>
      </c>
    </row>
    <row r="783">
      <c r="A783">
        <f>IF(NF!A781&lt;&gt;"", NF!A781, "")</f>
        <v/>
      </c>
      <c r="B783">
        <f>IF(A783&lt;&gt;"", NF!B781, "")</f>
        <v/>
      </c>
      <c r="C783">
        <f>IF(A783&lt;&gt;"", NF!C781, "")</f>
        <v/>
      </c>
      <c r="D783">
        <f>IF(A783&lt;&gt;"", NF!D781, "")</f>
        <v/>
      </c>
      <c r="E783">
        <f>IF(A783&lt;&gt;"", XLOOKUP(A783, Extrato!$D:$D, Extrato!$A:$A, ""), "")</f>
        <v/>
      </c>
      <c r="F783">
        <f>IF(A783&lt;&gt;"", XLOOKUP(A783, Extrato!$D:$D, Extrato!$B:$B, ""), "")</f>
        <v/>
      </c>
      <c r="G783">
        <f>IF(A783&lt;&gt;"", XLOOKUP(A783, Extrato!$D:$D, Extrato!$C:$C, ""), "")</f>
        <v/>
      </c>
      <c r="H783">
        <f>IF(A783="", "", IF(E783="", "Pendente", IF(C783=G783, "OK", "Valor divergente")))</f>
        <v/>
      </c>
    </row>
    <row r="784">
      <c r="A784">
        <f>IF(NF!A782&lt;&gt;"", NF!A782, "")</f>
        <v/>
      </c>
      <c r="B784">
        <f>IF(A784&lt;&gt;"", NF!B782, "")</f>
        <v/>
      </c>
      <c r="C784">
        <f>IF(A784&lt;&gt;"", NF!C782, "")</f>
        <v/>
      </c>
      <c r="D784">
        <f>IF(A784&lt;&gt;"", NF!D782, "")</f>
        <v/>
      </c>
      <c r="E784">
        <f>IF(A784&lt;&gt;"", XLOOKUP(A784, Extrato!$D:$D, Extrato!$A:$A, ""), "")</f>
        <v/>
      </c>
      <c r="F784">
        <f>IF(A784&lt;&gt;"", XLOOKUP(A784, Extrato!$D:$D, Extrato!$B:$B, ""), "")</f>
        <v/>
      </c>
      <c r="G784">
        <f>IF(A784&lt;&gt;"", XLOOKUP(A784, Extrato!$D:$D, Extrato!$C:$C, ""), "")</f>
        <v/>
      </c>
      <c r="H784">
        <f>IF(A784="", "", IF(E784="", "Pendente", IF(C784=G784, "OK", "Valor divergente")))</f>
        <v/>
      </c>
    </row>
    <row r="785">
      <c r="A785">
        <f>IF(NF!A783&lt;&gt;"", NF!A783, "")</f>
        <v/>
      </c>
      <c r="B785">
        <f>IF(A785&lt;&gt;"", NF!B783, "")</f>
        <v/>
      </c>
      <c r="C785">
        <f>IF(A785&lt;&gt;"", NF!C783, "")</f>
        <v/>
      </c>
      <c r="D785">
        <f>IF(A785&lt;&gt;"", NF!D783, "")</f>
        <v/>
      </c>
      <c r="E785">
        <f>IF(A785&lt;&gt;"", XLOOKUP(A785, Extrato!$D:$D, Extrato!$A:$A, ""), "")</f>
        <v/>
      </c>
      <c r="F785">
        <f>IF(A785&lt;&gt;"", XLOOKUP(A785, Extrato!$D:$D, Extrato!$B:$B, ""), "")</f>
        <v/>
      </c>
      <c r="G785">
        <f>IF(A785&lt;&gt;"", XLOOKUP(A785, Extrato!$D:$D, Extrato!$C:$C, ""), "")</f>
        <v/>
      </c>
      <c r="H785">
        <f>IF(A785="", "", IF(E785="", "Pendente", IF(C785=G785, "OK", "Valor divergente")))</f>
        <v/>
      </c>
    </row>
    <row r="786">
      <c r="A786">
        <f>IF(NF!A784&lt;&gt;"", NF!A784, "")</f>
        <v/>
      </c>
      <c r="B786">
        <f>IF(A786&lt;&gt;"", NF!B784, "")</f>
        <v/>
      </c>
      <c r="C786">
        <f>IF(A786&lt;&gt;"", NF!C784, "")</f>
        <v/>
      </c>
      <c r="D786">
        <f>IF(A786&lt;&gt;"", NF!D784, "")</f>
        <v/>
      </c>
      <c r="E786">
        <f>IF(A786&lt;&gt;"", XLOOKUP(A786, Extrato!$D:$D, Extrato!$A:$A, ""), "")</f>
        <v/>
      </c>
      <c r="F786">
        <f>IF(A786&lt;&gt;"", XLOOKUP(A786, Extrato!$D:$D, Extrato!$B:$B, ""), "")</f>
        <v/>
      </c>
      <c r="G786">
        <f>IF(A786&lt;&gt;"", XLOOKUP(A786, Extrato!$D:$D, Extrato!$C:$C, ""), "")</f>
        <v/>
      </c>
      <c r="H786">
        <f>IF(A786="", "", IF(E786="", "Pendente", IF(C786=G786, "OK", "Valor divergente")))</f>
        <v/>
      </c>
    </row>
    <row r="787">
      <c r="A787">
        <f>IF(NF!A785&lt;&gt;"", NF!A785, "")</f>
        <v/>
      </c>
      <c r="B787">
        <f>IF(A787&lt;&gt;"", NF!B785, "")</f>
        <v/>
      </c>
      <c r="C787">
        <f>IF(A787&lt;&gt;"", NF!C785, "")</f>
        <v/>
      </c>
      <c r="D787">
        <f>IF(A787&lt;&gt;"", NF!D785, "")</f>
        <v/>
      </c>
      <c r="E787">
        <f>IF(A787&lt;&gt;"", XLOOKUP(A787, Extrato!$D:$D, Extrato!$A:$A, ""), "")</f>
        <v/>
      </c>
      <c r="F787">
        <f>IF(A787&lt;&gt;"", XLOOKUP(A787, Extrato!$D:$D, Extrato!$B:$B, ""), "")</f>
        <v/>
      </c>
      <c r="G787">
        <f>IF(A787&lt;&gt;"", XLOOKUP(A787, Extrato!$D:$D, Extrato!$C:$C, ""), "")</f>
        <v/>
      </c>
      <c r="H787">
        <f>IF(A787="", "", IF(E787="", "Pendente", IF(C787=G787, "OK", "Valor divergente")))</f>
        <v/>
      </c>
    </row>
    <row r="788">
      <c r="A788">
        <f>IF(NF!A786&lt;&gt;"", NF!A786, "")</f>
        <v/>
      </c>
      <c r="B788">
        <f>IF(A788&lt;&gt;"", NF!B786, "")</f>
        <v/>
      </c>
      <c r="C788">
        <f>IF(A788&lt;&gt;"", NF!C786, "")</f>
        <v/>
      </c>
      <c r="D788">
        <f>IF(A788&lt;&gt;"", NF!D786, "")</f>
        <v/>
      </c>
      <c r="E788">
        <f>IF(A788&lt;&gt;"", XLOOKUP(A788, Extrato!$D:$D, Extrato!$A:$A, ""), "")</f>
        <v/>
      </c>
      <c r="F788">
        <f>IF(A788&lt;&gt;"", XLOOKUP(A788, Extrato!$D:$D, Extrato!$B:$B, ""), "")</f>
        <v/>
      </c>
      <c r="G788">
        <f>IF(A788&lt;&gt;"", XLOOKUP(A788, Extrato!$D:$D, Extrato!$C:$C, ""), "")</f>
        <v/>
      </c>
      <c r="H788">
        <f>IF(A788="", "", IF(E788="", "Pendente", IF(C788=G788, "OK", "Valor divergente")))</f>
        <v/>
      </c>
    </row>
    <row r="789">
      <c r="A789">
        <f>IF(NF!A787&lt;&gt;"", NF!A787, "")</f>
        <v/>
      </c>
      <c r="B789">
        <f>IF(A789&lt;&gt;"", NF!B787, "")</f>
        <v/>
      </c>
      <c r="C789">
        <f>IF(A789&lt;&gt;"", NF!C787, "")</f>
        <v/>
      </c>
      <c r="D789">
        <f>IF(A789&lt;&gt;"", NF!D787, "")</f>
        <v/>
      </c>
      <c r="E789">
        <f>IF(A789&lt;&gt;"", XLOOKUP(A789, Extrato!$D:$D, Extrato!$A:$A, ""), "")</f>
        <v/>
      </c>
      <c r="F789">
        <f>IF(A789&lt;&gt;"", XLOOKUP(A789, Extrato!$D:$D, Extrato!$B:$B, ""), "")</f>
        <v/>
      </c>
      <c r="G789">
        <f>IF(A789&lt;&gt;"", XLOOKUP(A789, Extrato!$D:$D, Extrato!$C:$C, ""), "")</f>
        <v/>
      </c>
      <c r="H789">
        <f>IF(A789="", "", IF(E789="", "Pendente", IF(C789=G789, "OK", "Valor divergente")))</f>
        <v/>
      </c>
    </row>
    <row r="790">
      <c r="A790">
        <f>IF(NF!A788&lt;&gt;"", NF!A788, "")</f>
        <v/>
      </c>
      <c r="B790">
        <f>IF(A790&lt;&gt;"", NF!B788, "")</f>
        <v/>
      </c>
      <c r="C790">
        <f>IF(A790&lt;&gt;"", NF!C788, "")</f>
        <v/>
      </c>
      <c r="D790">
        <f>IF(A790&lt;&gt;"", NF!D788, "")</f>
        <v/>
      </c>
      <c r="E790">
        <f>IF(A790&lt;&gt;"", XLOOKUP(A790, Extrato!$D:$D, Extrato!$A:$A, ""), "")</f>
        <v/>
      </c>
      <c r="F790">
        <f>IF(A790&lt;&gt;"", XLOOKUP(A790, Extrato!$D:$D, Extrato!$B:$B, ""), "")</f>
        <v/>
      </c>
      <c r="G790">
        <f>IF(A790&lt;&gt;"", XLOOKUP(A790, Extrato!$D:$D, Extrato!$C:$C, ""), "")</f>
        <v/>
      </c>
      <c r="H790">
        <f>IF(A790="", "", IF(E790="", "Pendente", IF(C790=G790, "OK", "Valor divergente")))</f>
        <v/>
      </c>
    </row>
    <row r="791">
      <c r="A791">
        <f>IF(NF!A789&lt;&gt;"", NF!A789, "")</f>
        <v/>
      </c>
      <c r="B791">
        <f>IF(A791&lt;&gt;"", NF!B789, "")</f>
        <v/>
      </c>
      <c r="C791">
        <f>IF(A791&lt;&gt;"", NF!C789, "")</f>
        <v/>
      </c>
      <c r="D791">
        <f>IF(A791&lt;&gt;"", NF!D789, "")</f>
        <v/>
      </c>
      <c r="E791">
        <f>IF(A791&lt;&gt;"", XLOOKUP(A791, Extrato!$D:$D, Extrato!$A:$A, ""), "")</f>
        <v/>
      </c>
      <c r="F791">
        <f>IF(A791&lt;&gt;"", XLOOKUP(A791, Extrato!$D:$D, Extrato!$B:$B, ""), "")</f>
        <v/>
      </c>
      <c r="G791">
        <f>IF(A791&lt;&gt;"", XLOOKUP(A791, Extrato!$D:$D, Extrato!$C:$C, ""), "")</f>
        <v/>
      </c>
      <c r="H791">
        <f>IF(A791="", "", IF(E791="", "Pendente", IF(C791=G791, "OK", "Valor divergente")))</f>
        <v/>
      </c>
    </row>
    <row r="792">
      <c r="A792">
        <f>IF(NF!A790&lt;&gt;"", NF!A790, "")</f>
        <v/>
      </c>
      <c r="B792">
        <f>IF(A792&lt;&gt;"", NF!B790, "")</f>
        <v/>
      </c>
      <c r="C792">
        <f>IF(A792&lt;&gt;"", NF!C790, "")</f>
        <v/>
      </c>
      <c r="D792">
        <f>IF(A792&lt;&gt;"", NF!D790, "")</f>
        <v/>
      </c>
      <c r="E792">
        <f>IF(A792&lt;&gt;"", XLOOKUP(A792, Extrato!$D:$D, Extrato!$A:$A, ""), "")</f>
        <v/>
      </c>
      <c r="F792">
        <f>IF(A792&lt;&gt;"", XLOOKUP(A792, Extrato!$D:$D, Extrato!$B:$B, ""), "")</f>
        <v/>
      </c>
      <c r="G792">
        <f>IF(A792&lt;&gt;"", XLOOKUP(A792, Extrato!$D:$D, Extrato!$C:$C, ""), "")</f>
        <v/>
      </c>
      <c r="H792">
        <f>IF(A792="", "", IF(E792="", "Pendente", IF(C792=G792, "OK", "Valor divergente")))</f>
        <v/>
      </c>
    </row>
    <row r="793">
      <c r="A793">
        <f>IF(NF!A791&lt;&gt;"", NF!A791, "")</f>
        <v/>
      </c>
      <c r="B793">
        <f>IF(A793&lt;&gt;"", NF!B791, "")</f>
        <v/>
      </c>
      <c r="C793">
        <f>IF(A793&lt;&gt;"", NF!C791, "")</f>
        <v/>
      </c>
      <c r="D793">
        <f>IF(A793&lt;&gt;"", NF!D791, "")</f>
        <v/>
      </c>
      <c r="E793">
        <f>IF(A793&lt;&gt;"", XLOOKUP(A793, Extrato!$D:$D, Extrato!$A:$A, ""), "")</f>
        <v/>
      </c>
      <c r="F793">
        <f>IF(A793&lt;&gt;"", XLOOKUP(A793, Extrato!$D:$D, Extrato!$B:$B, ""), "")</f>
        <v/>
      </c>
      <c r="G793">
        <f>IF(A793&lt;&gt;"", XLOOKUP(A793, Extrato!$D:$D, Extrato!$C:$C, ""), "")</f>
        <v/>
      </c>
      <c r="H793">
        <f>IF(A793="", "", IF(E793="", "Pendente", IF(C793=G793, "OK", "Valor divergente")))</f>
        <v/>
      </c>
    </row>
    <row r="794">
      <c r="A794">
        <f>IF(NF!A792&lt;&gt;"", NF!A792, "")</f>
        <v/>
      </c>
      <c r="B794">
        <f>IF(A794&lt;&gt;"", NF!B792, "")</f>
        <v/>
      </c>
      <c r="C794">
        <f>IF(A794&lt;&gt;"", NF!C792, "")</f>
        <v/>
      </c>
      <c r="D794">
        <f>IF(A794&lt;&gt;"", NF!D792, "")</f>
        <v/>
      </c>
      <c r="E794">
        <f>IF(A794&lt;&gt;"", XLOOKUP(A794, Extrato!$D:$D, Extrato!$A:$A, ""), "")</f>
        <v/>
      </c>
      <c r="F794">
        <f>IF(A794&lt;&gt;"", XLOOKUP(A794, Extrato!$D:$D, Extrato!$B:$B, ""), "")</f>
        <v/>
      </c>
      <c r="G794">
        <f>IF(A794&lt;&gt;"", XLOOKUP(A794, Extrato!$D:$D, Extrato!$C:$C, ""), "")</f>
        <v/>
      </c>
      <c r="H794">
        <f>IF(A794="", "", IF(E794="", "Pendente", IF(C794=G794, "OK", "Valor divergente")))</f>
        <v/>
      </c>
    </row>
    <row r="795">
      <c r="A795">
        <f>IF(NF!A793&lt;&gt;"", NF!A793, "")</f>
        <v/>
      </c>
      <c r="B795">
        <f>IF(A795&lt;&gt;"", NF!B793, "")</f>
        <v/>
      </c>
      <c r="C795">
        <f>IF(A795&lt;&gt;"", NF!C793, "")</f>
        <v/>
      </c>
      <c r="D795">
        <f>IF(A795&lt;&gt;"", NF!D793, "")</f>
        <v/>
      </c>
      <c r="E795">
        <f>IF(A795&lt;&gt;"", XLOOKUP(A795, Extrato!$D:$D, Extrato!$A:$A, ""), "")</f>
        <v/>
      </c>
      <c r="F795">
        <f>IF(A795&lt;&gt;"", XLOOKUP(A795, Extrato!$D:$D, Extrato!$B:$B, ""), "")</f>
        <v/>
      </c>
      <c r="G795">
        <f>IF(A795&lt;&gt;"", XLOOKUP(A795, Extrato!$D:$D, Extrato!$C:$C, ""), "")</f>
        <v/>
      </c>
      <c r="H795">
        <f>IF(A795="", "", IF(E795="", "Pendente", IF(C795=G795, "OK", "Valor divergente")))</f>
        <v/>
      </c>
    </row>
    <row r="796">
      <c r="A796">
        <f>IF(NF!A794&lt;&gt;"", NF!A794, "")</f>
        <v/>
      </c>
      <c r="B796">
        <f>IF(A796&lt;&gt;"", NF!B794, "")</f>
        <v/>
      </c>
      <c r="C796">
        <f>IF(A796&lt;&gt;"", NF!C794, "")</f>
        <v/>
      </c>
      <c r="D796">
        <f>IF(A796&lt;&gt;"", NF!D794, "")</f>
        <v/>
      </c>
      <c r="E796">
        <f>IF(A796&lt;&gt;"", XLOOKUP(A796, Extrato!$D:$D, Extrato!$A:$A, ""), "")</f>
        <v/>
      </c>
      <c r="F796">
        <f>IF(A796&lt;&gt;"", XLOOKUP(A796, Extrato!$D:$D, Extrato!$B:$B, ""), "")</f>
        <v/>
      </c>
      <c r="G796">
        <f>IF(A796&lt;&gt;"", XLOOKUP(A796, Extrato!$D:$D, Extrato!$C:$C, ""), "")</f>
        <v/>
      </c>
      <c r="H796">
        <f>IF(A796="", "", IF(E796="", "Pendente", IF(C796=G796, "OK", "Valor divergente")))</f>
        <v/>
      </c>
    </row>
    <row r="797">
      <c r="A797">
        <f>IF(NF!A795&lt;&gt;"", NF!A795, "")</f>
        <v/>
      </c>
      <c r="B797">
        <f>IF(A797&lt;&gt;"", NF!B795, "")</f>
        <v/>
      </c>
      <c r="C797">
        <f>IF(A797&lt;&gt;"", NF!C795, "")</f>
        <v/>
      </c>
      <c r="D797">
        <f>IF(A797&lt;&gt;"", NF!D795, "")</f>
        <v/>
      </c>
      <c r="E797">
        <f>IF(A797&lt;&gt;"", XLOOKUP(A797, Extrato!$D:$D, Extrato!$A:$A, ""), "")</f>
        <v/>
      </c>
      <c r="F797">
        <f>IF(A797&lt;&gt;"", XLOOKUP(A797, Extrato!$D:$D, Extrato!$B:$B, ""), "")</f>
        <v/>
      </c>
      <c r="G797">
        <f>IF(A797&lt;&gt;"", XLOOKUP(A797, Extrato!$D:$D, Extrato!$C:$C, ""), "")</f>
        <v/>
      </c>
      <c r="H797">
        <f>IF(A797="", "", IF(E797="", "Pendente", IF(C797=G797, "OK", "Valor divergente")))</f>
        <v/>
      </c>
    </row>
    <row r="798">
      <c r="A798">
        <f>IF(NF!A796&lt;&gt;"", NF!A796, "")</f>
        <v/>
      </c>
      <c r="B798">
        <f>IF(A798&lt;&gt;"", NF!B796, "")</f>
        <v/>
      </c>
      <c r="C798">
        <f>IF(A798&lt;&gt;"", NF!C796, "")</f>
        <v/>
      </c>
      <c r="D798">
        <f>IF(A798&lt;&gt;"", NF!D796, "")</f>
        <v/>
      </c>
      <c r="E798">
        <f>IF(A798&lt;&gt;"", XLOOKUP(A798, Extrato!$D:$D, Extrato!$A:$A, ""), "")</f>
        <v/>
      </c>
      <c r="F798">
        <f>IF(A798&lt;&gt;"", XLOOKUP(A798, Extrato!$D:$D, Extrato!$B:$B, ""), "")</f>
        <v/>
      </c>
      <c r="G798">
        <f>IF(A798&lt;&gt;"", XLOOKUP(A798, Extrato!$D:$D, Extrato!$C:$C, ""), "")</f>
        <v/>
      </c>
      <c r="H798">
        <f>IF(A798="", "", IF(E798="", "Pendente", IF(C798=G798, "OK", "Valor divergente")))</f>
        <v/>
      </c>
    </row>
    <row r="799">
      <c r="A799">
        <f>IF(NF!A797&lt;&gt;"", NF!A797, "")</f>
        <v/>
      </c>
      <c r="B799">
        <f>IF(A799&lt;&gt;"", NF!B797, "")</f>
        <v/>
      </c>
      <c r="C799">
        <f>IF(A799&lt;&gt;"", NF!C797, "")</f>
        <v/>
      </c>
      <c r="D799">
        <f>IF(A799&lt;&gt;"", NF!D797, "")</f>
        <v/>
      </c>
      <c r="E799">
        <f>IF(A799&lt;&gt;"", XLOOKUP(A799, Extrato!$D:$D, Extrato!$A:$A, ""), "")</f>
        <v/>
      </c>
      <c r="F799">
        <f>IF(A799&lt;&gt;"", XLOOKUP(A799, Extrato!$D:$D, Extrato!$B:$B, ""), "")</f>
        <v/>
      </c>
      <c r="G799">
        <f>IF(A799&lt;&gt;"", XLOOKUP(A799, Extrato!$D:$D, Extrato!$C:$C, ""), "")</f>
        <v/>
      </c>
      <c r="H799">
        <f>IF(A799="", "", IF(E799="", "Pendente", IF(C799=G799, "OK", "Valor divergente")))</f>
        <v/>
      </c>
    </row>
    <row r="800">
      <c r="A800">
        <f>IF(NF!A798&lt;&gt;"", NF!A798, "")</f>
        <v/>
      </c>
      <c r="B800">
        <f>IF(A800&lt;&gt;"", NF!B798, "")</f>
        <v/>
      </c>
      <c r="C800">
        <f>IF(A800&lt;&gt;"", NF!C798, "")</f>
        <v/>
      </c>
      <c r="D800">
        <f>IF(A800&lt;&gt;"", NF!D798, "")</f>
        <v/>
      </c>
      <c r="E800">
        <f>IF(A800&lt;&gt;"", XLOOKUP(A800, Extrato!$D:$D, Extrato!$A:$A, ""), "")</f>
        <v/>
      </c>
      <c r="F800">
        <f>IF(A800&lt;&gt;"", XLOOKUP(A800, Extrato!$D:$D, Extrato!$B:$B, ""), "")</f>
        <v/>
      </c>
      <c r="G800">
        <f>IF(A800&lt;&gt;"", XLOOKUP(A800, Extrato!$D:$D, Extrato!$C:$C, ""), "")</f>
        <v/>
      </c>
      <c r="H800">
        <f>IF(A800="", "", IF(E800="", "Pendente", IF(C800=G800, "OK", "Valor divergente")))</f>
        <v/>
      </c>
    </row>
    <row r="801">
      <c r="A801">
        <f>IF(NF!A799&lt;&gt;"", NF!A799, "")</f>
        <v/>
      </c>
      <c r="B801">
        <f>IF(A801&lt;&gt;"", NF!B799, "")</f>
        <v/>
      </c>
      <c r="C801">
        <f>IF(A801&lt;&gt;"", NF!C799, "")</f>
        <v/>
      </c>
      <c r="D801">
        <f>IF(A801&lt;&gt;"", NF!D799, "")</f>
        <v/>
      </c>
      <c r="E801">
        <f>IF(A801&lt;&gt;"", XLOOKUP(A801, Extrato!$D:$D, Extrato!$A:$A, ""), "")</f>
        <v/>
      </c>
      <c r="F801">
        <f>IF(A801&lt;&gt;"", XLOOKUP(A801, Extrato!$D:$D, Extrato!$B:$B, ""), "")</f>
        <v/>
      </c>
      <c r="G801">
        <f>IF(A801&lt;&gt;"", XLOOKUP(A801, Extrato!$D:$D, Extrato!$C:$C, ""), "")</f>
        <v/>
      </c>
      <c r="H801">
        <f>IF(A801="", "", IF(E801="", "Pendente", IF(C801=G801, "OK", "Valor divergente")))</f>
        <v/>
      </c>
    </row>
    <row r="802">
      <c r="A802">
        <f>IF(NF!A800&lt;&gt;"", NF!A800, "")</f>
        <v/>
      </c>
      <c r="B802">
        <f>IF(A802&lt;&gt;"", NF!B800, "")</f>
        <v/>
      </c>
      <c r="C802">
        <f>IF(A802&lt;&gt;"", NF!C800, "")</f>
        <v/>
      </c>
      <c r="D802">
        <f>IF(A802&lt;&gt;"", NF!D800, "")</f>
        <v/>
      </c>
      <c r="E802">
        <f>IF(A802&lt;&gt;"", XLOOKUP(A802, Extrato!$D:$D, Extrato!$A:$A, ""), "")</f>
        <v/>
      </c>
      <c r="F802">
        <f>IF(A802&lt;&gt;"", XLOOKUP(A802, Extrato!$D:$D, Extrato!$B:$B, ""), "")</f>
        <v/>
      </c>
      <c r="G802">
        <f>IF(A802&lt;&gt;"", XLOOKUP(A802, Extrato!$D:$D, Extrato!$C:$C, ""), "")</f>
        <v/>
      </c>
      <c r="H802">
        <f>IF(A802="", "", IF(E802="", "Pendente", IF(C802=G802, "OK", "Valor divergente")))</f>
        <v/>
      </c>
    </row>
    <row r="803">
      <c r="A803">
        <f>IF(NF!A801&lt;&gt;"", NF!A801, "")</f>
        <v/>
      </c>
      <c r="B803">
        <f>IF(A803&lt;&gt;"", NF!B801, "")</f>
        <v/>
      </c>
      <c r="C803">
        <f>IF(A803&lt;&gt;"", NF!C801, "")</f>
        <v/>
      </c>
      <c r="D803">
        <f>IF(A803&lt;&gt;"", NF!D801, "")</f>
        <v/>
      </c>
      <c r="E803">
        <f>IF(A803&lt;&gt;"", XLOOKUP(A803, Extrato!$D:$D, Extrato!$A:$A, ""), "")</f>
        <v/>
      </c>
      <c r="F803">
        <f>IF(A803&lt;&gt;"", XLOOKUP(A803, Extrato!$D:$D, Extrato!$B:$B, ""), "")</f>
        <v/>
      </c>
      <c r="G803">
        <f>IF(A803&lt;&gt;"", XLOOKUP(A803, Extrato!$D:$D, Extrato!$C:$C, ""), "")</f>
        <v/>
      </c>
      <c r="H803">
        <f>IF(A803="", "", IF(E803="", "Pendente", IF(C803=G803, "OK", "Valor divergente")))</f>
        <v/>
      </c>
    </row>
    <row r="804">
      <c r="A804">
        <f>IF(NF!A802&lt;&gt;"", NF!A802, "")</f>
        <v/>
      </c>
      <c r="B804">
        <f>IF(A804&lt;&gt;"", NF!B802, "")</f>
        <v/>
      </c>
      <c r="C804">
        <f>IF(A804&lt;&gt;"", NF!C802, "")</f>
        <v/>
      </c>
      <c r="D804">
        <f>IF(A804&lt;&gt;"", NF!D802, "")</f>
        <v/>
      </c>
      <c r="E804">
        <f>IF(A804&lt;&gt;"", XLOOKUP(A804, Extrato!$D:$D, Extrato!$A:$A, ""), "")</f>
        <v/>
      </c>
      <c r="F804">
        <f>IF(A804&lt;&gt;"", XLOOKUP(A804, Extrato!$D:$D, Extrato!$B:$B, ""), "")</f>
        <v/>
      </c>
      <c r="G804">
        <f>IF(A804&lt;&gt;"", XLOOKUP(A804, Extrato!$D:$D, Extrato!$C:$C, ""), "")</f>
        <v/>
      </c>
      <c r="H804">
        <f>IF(A804="", "", IF(E804="", "Pendente", IF(C804=G804, "OK", "Valor divergente")))</f>
        <v/>
      </c>
    </row>
    <row r="805">
      <c r="A805">
        <f>IF(NF!A803&lt;&gt;"", NF!A803, "")</f>
        <v/>
      </c>
      <c r="B805">
        <f>IF(A805&lt;&gt;"", NF!B803, "")</f>
        <v/>
      </c>
      <c r="C805">
        <f>IF(A805&lt;&gt;"", NF!C803, "")</f>
        <v/>
      </c>
      <c r="D805">
        <f>IF(A805&lt;&gt;"", NF!D803, "")</f>
        <v/>
      </c>
      <c r="E805">
        <f>IF(A805&lt;&gt;"", XLOOKUP(A805, Extrato!$D:$D, Extrato!$A:$A, ""), "")</f>
        <v/>
      </c>
      <c r="F805">
        <f>IF(A805&lt;&gt;"", XLOOKUP(A805, Extrato!$D:$D, Extrato!$B:$B, ""), "")</f>
        <v/>
      </c>
      <c r="G805">
        <f>IF(A805&lt;&gt;"", XLOOKUP(A805, Extrato!$D:$D, Extrato!$C:$C, ""), "")</f>
        <v/>
      </c>
      <c r="H805">
        <f>IF(A805="", "", IF(E805="", "Pendente", IF(C805=G805, "OK", "Valor divergente")))</f>
        <v/>
      </c>
    </row>
    <row r="806">
      <c r="A806">
        <f>IF(NF!A804&lt;&gt;"", NF!A804, "")</f>
        <v/>
      </c>
      <c r="B806">
        <f>IF(A806&lt;&gt;"", NF!B804, "")</f>
        <v/>
      </c>
      <c r="C806">
        <f>IF(A806&lt;&gt;"", NF!C804, "")</f>
        <v/>
      </c>
      <c r="D806">
        <f>IF(A806&lt;&gt;"", NF!D804, "")</f>
        <v/>
      </c>
      <c r="E806">
        <f>IF(A806&lt;&gt;"", XLOOKUP(A806, Extrato!$D:$D, Extrato!$A:$A, ""), "")</f>
        <v/>
      </c>
      <c r="F806">
        <f>IF(A806&lt;&gt;"", XLOOKUP(A806, Extrato!$D:$D, Extrato!$B:$B, ""), "")</f>
        <v/>
      </c>
      <c r="G806">
        <f>IF(A806&lt;&gt;"", XLOOKUP(A806, Extrato!$D:$D, Extrato!$C:$C, ""), "")</f>
        <v/>
      </c>
      <c r="H806">
        <f>IF(A806="", "", IF(E806="", "Pendente", IF(C806=G806, "OK", "Valor divergente")))</f>
        <v/>
      </c>
    </row>
    <row r="807">
      <c r="A807">
        <f>IF(NF!A805&lt;&gt;"", NF!A805, "")</f>
        <v/>
      </c>
      <c r="B807">
        <f>IF(A807&lt;&gt;"", NF!B805, "")</f>
        <v/>
      </c>
      <c r="C807">
        <f>IF(A807&lt;&gt;"", NF!C805, "")</f>
        <v/>
      </c>
      <c r="D807">
        <f>IF(A807&lt;&gt;"", NF!D805, "")</f>
        <v/>
      </c>
      <c r="E807">
        <f>IF(A807&lt;&gt;"", XLOOKUP(A807, Extrato!$D:$D, Extrato!$A:$A, ""), "")</f>
        <v/>
      </c>
      <c r="F807">
        <f>IF(A807&lt;&gt;"", XLOOKUP(A807, Extrato!$D:$D, Extrato!$B:$B, ""), "")</f>
        <v/>
      </c>
      <c r="G807">
        <f>IF(A807&lt;&gt;"", XLOOKUP(A807, Extrato!$D:$D, Extrato!$C:$C, ""), "")</f>
        <v/>
      </c>
      <c r="H807">
        <f>IF(A807="", "", IF(E807="", "Pendente", IF(C807=G807, "OK", "Valor divergente")))</f>
        <v/>
      </c>
    </row>
    <row r="808">
      <c r="A808">
        <f>IF(NF!A806&lt;&gt;"", NF!A806, "")</f>
        <v/>
      </c>
      <c r="B808">
        <f>IF(A808&lt;&gt;"", NF!B806, "")</f>
        <v/>
      </c>
      <c r="C808">
        <f>IF(A808&lt;&gt;"", NF!C806, "")</f>
        <v/>
      </c>
      <c r="D808">
        <f>IF(A808&lt;&gt;"", NF!D806, "")</f>
        <v/>
      </c>
      <c r="E808">
        <f>IF(A808&lt;&gt;"", XLOOKUP(A808, Extrato!$D:$D, Extrato!$A:$A, ""), "")</f>
        <v/>
      </c>
      <c r="F808">
        <f>IF(A808&lt;&gt;"", XLOOKUP(A808, Extrato!$D:$D, Extrato!$B:$B, ""), "")</f>
        <v/>
      </c>
      <c r="G808">
        <f>IF(A808&lt;&gt;"", XLOOKUP(A808, Extrato!$D:$D, Extrato!$C:$C, ""), "")</f>
        <v/>
      </c>
      <c r="H808">
        <f>IF(A808="", "", IF(E808="", "Pendente", IF(C808=G808, "OK", "Valor divergente")))</f>
        <v/>
      </c>
    </row>
    <row r="809">
      <c r="A809">
        <f>IF(NF!A807&lt;&gt;"", NF!A807, "")</f>
        <v/>
      </c>
      <c r="B809">
        <f>IF(A809&lt;&gt;"", NF!B807, "")</f>
        <v/>
      </c>
      <c r="C809">
        <f>IF(A809&lt;&gt;"", NF!C807, "")</f>
        <v/>
      </c>
      <c r="D809">
        <f>IF(A809&lt;&gt;"", NF!D807, "")</f>
        <v/>
      </c>
      <c r="E809">
        <f>IF(A809&lt;&gt;"", XLOOKUP(A809, Extrato!$D:$D, Extrato!$A:$A, ""), "")</f>
        <v/>
      </c>
      <c r="F809">
        <f>IF(A809&lt;&gt;"", XLOOKUP(A809, Extrato!$D:$D, Extrato!$B:$B, ""), "")</f>
        <v/>
      </c>
      <c r="G809">
        <f>IF(A809&lt;&gt;"", XLOOKUP(A809, Extrato!$D:$D, Extrato!$C:$C, ""), "")</f>
        <v/>
      </c>
      <c r="H809">
        <f>IF(A809="", "", IF(E809="", "Pendente", IF(C809=G809, "OK", "Valor divergente")))</f>
        <v/>
      </c>
    </row>
    <row r="810">
      <c r="A810">
        <f>IF(NF!A808&lt;&gt;"", NF!A808, "")</f>
        <v/>
      </c>
      <c r="B810">
        <f>IF(A810&lt;&gt;"", NF!B808, "")</f>
        <v/>
      </c>
      <c r="C810">
        <f>IF(A810&lt;&gt;"", NF!C808, "")</f>
        <v/>
      </c>
      <c r="D810">
        <f>IF(A810&lt;&gt;"", NF!D808, "")</f>
        <v/>
      </c>
      <c r="E810">
        <f>IF(A810&lt;&gt;"", XLOOKUP(A810, Extrato!$D:$D, Extrato!$A:$A, ""), "")</f>
        <v/>
      </c>
      <c r="F810">
        <f>IF(A810&lt;&gt;"", XLOOKUP(A810, Extrato!$D:$D, Extrato!$B:$B, ""), "")</f>
        <v/>
      </c>
      <c r="G810">
        <f>IF(A810&lt;&gt;"", XLOOKUP(A810, Extrato!$D:$D, Extrato!$C:$C, ""), "")</f>
        <v/>
      </c>
      <c r="H810">
        <f>IF(A810="", "", IF(E810="", "Pendente", IF(C810=G810, "OK", "Valor divergente")))</f>
        <v/>
      </c>
    </row>
    <row r="811">
      <c r="A811">
        <f>IF(NF!A809&lt;&gt;"", NF!A809, "")</f>
        <v/>
      </c>
      <c r="B811">
        <f>IF(A811&lt;&gt;"", NF!B809, "")</f>
        <v/>
      </c>
      <c r="C811">
        <f>IF(A811&lt;&gt;"", NF!C809, "")</f>
        <v/>
      </c>
      <c r="D811">
        <f>IF(A811&lt;&gt;"", NF!D809, "")</f>
        <v/>
      </c>
      <c r="E811">
        <f>IF(A811&lt;&gt;"", XLOOKUP(A811, Extrato!$D:$D, Extrato!$A:$A, ""), "")</f>
        <v/>
      </c>
      <c r="F811">
        <f>IF(A811&lt;&gt;"", XLOOKUP(A811, Extrato!$D:$D, Extrato!$B:$B, ""), "")</f>
        <v/>
      </c>
      <c r="G811">
        <f>IF(A811&lt;&gt;"", XLOOKUP(A811, Extrato!$D:$D, Extrato!$C:$C, ""), "")</f>
        <v/>
      </c>
      <c r="H811">
        <f>IF(A811="", "", IF(E811="", "Pendente", IF(C811=G811, "OK", "Valor divergente")))</f>
        <v/>
      </c>
    </row>
    <row r="812">
      <c r="A812">
        <f>IF(NF!A810&lt;&gt;"", NF!A810, "")</f>
        <v/>
      </c>
      <c r="B812">
        <f>IF(A812&lt;&gt;"", NF!B810, "")</f>
        <v/>
      </c>
      <c r="C812">
        <f>IF(A812&lt;&gt;"", NF!C810, "")</f>
        <v/>
      </c>
      <c r="D812">
        <f>IF(A812&lt;&gt;"", NF!D810, "")</f>
        <v/>
      </c>
      <c r="E812">
        <f>IF(A812&lt;&gt;"", XLOOKUP(A812, Extrato!$D:$D, Extrato!$A:$A, ""), "")</f>
        <v/>
      </c>
      <c r="F812">
        <f>IF(A812&lt;&gt;"", XLOOKUP(A812, Extrato!$D:$D, Extrato!$B:$B, ""), "")</f>
        <v/>
      </c>
      <c r="G812">
        <f>IF(A812&lt;&gt;"", XLOOKUP(A812, Extrato!$D:$D, Extrato!$C:$C, ""), "")</f>
        <v/>
      </c>
      <c r="H812">
        <f>IF(A812="", "", IF(E812="", "Pendente", IF(C812=G812, "OK", "Valor divergente")))</f>
        <v/>
      </c>
    </row>
    <row r="813">
      <c r="A813">
        <f>IF(NF!A811&lt;&gt;"", NF!A811, "")</f>
        <v/>
      </c>
      <c r="B813">
        <f>IF(A813&lt;&gt;"", NF!B811, "")</f>
        <v/>
      </c>
      <c r="C813">
        <f>IF(A813&lt;&gt;"", NF!C811, "")</f>
        <v/>
      </c>
      <c r="D813">
        <f>IF(A813&lt;&gt;"", NF!D811, "")</f>
        <v/>
      </c>
      <c r="E813">
        <f>IF(A813&lt;&gt;"", XLOOKUP(A813, Extrato!$D:$D, Extrato!$A:$A, ""), "")</f>
        <v/>
      </c>
      <c r="F813">
        <f>IF(A813&lt;&gt;"", XLOOKUP(A813, Extrato!$D:$D, Extrato!$B:$B, ""), "")</f>
        <v/>
      </c>
      <c r="G813">
        <f>IF(A813&lt;&gt;"", XLOOKUP(A813, Extrato!$D:$D, Extrato!$C:$C, ""), "")</f>
        <v/>
      </c>
      <c r="H813">
        <f>IF(A813="", "", IF(E813="", "Pendente", IF(C813=G813, "OK", "Valor divergente")))</f>
        <v/>
      </c>
    </row>
    <row r="814">
      <c r="A814">
        <f>IF(NF!A812&lt;&gt;"", NF!A812, "")</f>
        <v/>
      </c>
      <c r="B814">
        <f>IF(A814&lt;&gt;"", NF!B812, "")</f>
        <v/>
      </c>
      <c r="C814">
        <f>IF(A814&lt;&gt;"", NF!C812, "")</f>
        <v/>
      </c>
      <c r="D814">
        <f>IF(A814&lt;&gt;"", NF!D812, "")</f>
        <v/>
      </c>
      <c r="E814">
        <f>IF(A814&lt;&gt;"", XLOOKUP(A814, Extrato!$D:$D, Extrato!$A:$A, ""), "")</f>
        <v/>
      </c>
      <c r="F814">
        <f>IF(A814&lt;&gt;"", XLOOKUP(A814, Extrato!$D:$D, Extrato!$B:$B, ""), "")</f>
        <v/>
      </c>
      <c r="G814">
        <f>IF(A814&lt;&gt;"", XLOOKUP(A814, Extrato!$D:$D, Extrato!$C:$C, ""), "")</f>
        <v/>
      </c>
      <c r="H814">
        <f>IF(A814="", "", IF(E814="", "Pendente", IF(C814=G814, "OK", "Valor divergente")))</f>
        <v/>
      </c>
    </row>
    <row r="815">
      <c r="A815">
        <f>IF(NF!A813&lt;&gt;"", NF!A813, "")</f>
        <v/>
      </c>
      <c r="B815">
        <f>IF(A815&lt;&gt;"", NF!B813, "")</f>
        <v/>
      </c>
      <c r="C815">
        <f>IF(A815&lt;&gt;"", NF!C813, "")</f>
        <v/>
      </c>
      <c r="D815">
        <f>IF(A815&lt;&gt;"", NF!D813, "")</f>
        <v/>
      </c>
      <c r="E815">
        <f>IF(A815&lt;&gt;"", XLOOKUP(A815, Extrato!$D:$D, Extrato!$A:$A, ""), "")</f>
        <v/>
      </c>
      <c r="F815">
        <f>IF(A815&lt;&gt;"", XLOOKUP(A815, Extrato!$D:$D, Extrato!$B:$B, ""), "")</f>
        <v/>
      </c>
      <c r="G815">
        <f>IF(A815&lt;&gt;"", XLOOKUP(A815, Extrato!$D:$D, Extrato!$C:$C, ""), "")</f>
        <v/>
      </c>
      <c r="H815">
        <f>IF(A815="", "", IF(E815="", "Pendente", IF(C815=G815, "OK", "Valor divergente")))</f>
        <v/>
      </c>
    </row>
    <row r="816">
      <c r="A816">
        <f>IF(NF!A814&lt;&gt;"", NF!A814, "")</f>
        <v/>
      </c>
      <c r="B816">
        <f>IF(A816&lt;&gt;"", NF!B814, "")</f>
        <v/>
      </c>
      <c r="C816">
        <f>IF(A816&lt;&gt;"", NF!C814, "")</f>
        <v/>
      </c>
      <c r="D816">
        <f>IF(A816&lt;&gt;"", NF!D814, "")</f>
        <v/>
      </c>
      <c r="E816">
        <f>IF(A816&lt;&gt;"", XLOOKUP(A816, Extrato!$D:$D, Extrato!$A:$A, ""), "")</f>
        <v/>
      </c>
      <c r="F816">
        <f>IF(A816&lt;&gt;"", XLOOKUP(A816, Extrato!$D:$D, Extrato!$B:$B, ""), "")</f>
        <v/>
      </c>
      <c r="G816">
        <f>IF(A816&lt;&gt;"", XLOOKUP(A816, Extrato!$D:$D, Extrato!$C:$C, ""), "")</f>
        <v/>
      </c>
      <c r="H816">
        <f>IF(A816="", "", IF(E816="", "Pendente", IF(C816=G816, "OK", "Valor divergente")))</f>
        <v/>
      </c>
    </row>
    <row r="817">
      <c r="A817">
        <f>IF(NF!A815&lt;&gt;"", NF!A815, "")</f>
        <v/>
      </c>
      <c r="B817">
        <f>IF(A817&lt;&gt;"", NF!B815, "")</f>
        <v/>
      </c>
      <c r="C817">
        <f>IF(A817&lt;&gt;"", NF!C815, "")</f>
        <v/>
      </c>
      <c r="D817">
        <f>IF(A817&lt;&gt;"", NF!D815, "")</f>
        <v/>
      </c>
      <c r="E817">
        <f>IF(A817&lt;&gt;"", XLOOKUP(A817, Extrato!$D:$D, Extrato!$A:$A, ""), "")</f>
        <v/>
      </c>
      <c r="F817">
        <f>IF(A817&lt;&gt;"", XLOOKUP(A817, Extrato!$D:$D, Extrato!$B:$B, ""), "")</f>
        <v/>
      </c>
      <c r="G817">
        <f>IF(A817&lt;&gt;"", XLOOKUP(A817, Extrato!$D:$D, Extrato!$C:$C, ""), "")</f>
        <v/>
      </c>
      <c r="H817">
        <f>IF(A817="", "", IF(E817="", "Pendente", IF(C817=G817, "OK", "Valor divergente")))</f>
        <v/>
      </c>
    </row>
    <row r="818">
      <c r="A818">
        <f>IF(NF!A816&lt;&gt;"", NF!A816, "")</f>
        <v/>
      </c>
      <c r="B818">
        <f>IF(A818&lt;&gt;"", NF!B816, "")</f>
        <v/>
      </c>
      <c r="C818">
        <f>IF(A818&lt;&gt;"", NF!C816, "")</f>
        <v/>
      </c>
      <c r="D818">
        <f>IF(A818&lt;&gt;"", NF!D816, "")</f>
        <v/>
      </c>
      <c r="E818">
        <f>IF(A818&lt;&gt;"", XLOOKUP(A818, Extrato!$D:$D, Extrato!$A:$A, ""), "")</f>
        <v/>
      </c>
      <c r="F818">
        <f>IF(A818&lt;&gt;"", XLOOKUP(A818, Extrato!$D:$D, Extrato!$B:$B, ""), "")</f>
        <v/>
      </c>
      <c r="G818">
        <f>IF(A818&lt;&gt;"", XLOOKUP(A818, Extrato!$D:$D, Extrato!$C:$C, ""), "")</f>
        <v/>
      </c>
      <c r="H818">
        <f>IF(A818="", "", IF(E818="", "Pendente", IF(C818=G818, "OK", "Valor divergente")))</f>
        <v/>
      </c>
    </row>
    <row r="819">
      <c r="A819">
        <f>IF(NF!A817&lt;&gt;"", NF!A817, "")</f>
        <v/>
      </c>
      <c r="B819">
        <f>IF(A819&lt;&gt;"", NF!B817, "")</f>
        <v/>
      </c>
      <c r="C819">
        <f>IF(A819&lt;&gt;"", NF!C817, "")</f>
        <v/>
      </c>
      <c r="D819">
        <f>IF(A819&lt;&gt;"", NF!D817, "")</f>
        <v/>
      </c>
      <c r="E819">
        <f>IF(A819&lt;&gt;"", XLOOKUP(A819, Extrato!$D:$D, Extrato!$A:$A, ""), "")</f>
        <v/>
      </c>
      <c r="F819">
        <f>IF(A819&lt;&gt;"", XLOOKUP(A819, Extrato!$D:$D, Extrato!$B:$B, ""), "")</f>
        <v/>
      </c>
      <c r="G819">
        <f>IF(A819&lt;&gt;"", XLOOKUP(A819, Extrato!$D:$D, Extrato!$C:$C, ""), "")</f>
        <v/>
      </c>
      <c r="H819">
        <f>IF(A819="", "", IF(E819="", "Pendente", IF(C819=G819, "OK", "Valor divergente")))</f>
        <v/>
      </c>
    </row>
    <row r="820">
      <c r="A820">
        <f>IF(NF!A818&lt;&gt;"", NF!A818, "")</f>
        <v/>
      </c>
      <c r="B820">
        <f>IF(A820&lt;&gt;"", NF!B818, "")</f>
        <v/>
      </c>
      <c r="C820">
        <f>IF(A820&lt;&gt;"", NF!C818, "")</f>
        <v/>
      </c>
      <c r="D820">
        <f>IF(A820&lt;&gt;"", NF!D818, "")</f>
        <v/>
      </c>
      <c r="E820">
        <f>IF(A820&lt;&gt;"", XLOOKUP(A820, Extrato!$D:$D, Extrato!$A:$A, ""), "")</f>
        <v/>
      </c>
      <c r="F820">
        <f>IF(A820&lt;&gt;"", XLOOKUP(A820, Extrato!$D:$D, Extrato!$B:$B, ""), "")</f>
        <v/>
      </c>
      <c r="G820">
        <f>IF(A820&lt;&gt;"", XLOOKUP(A820, Extrato!$D:$D, Extrato!$C:$C, ""), "")</f>
        <v/>
      </c>
      <c r="H820">
        <f>IF(A820="", "", IF(E820="", "Pendente", IF(C820=G820, "OK", "Valor divergente")))</f>
        <v/>
      </c>
    </row>
    <row r="821">
      <c r="A821">
        <f>IF(NF!A819&lt;&gt;"", NF!A819, "")</f>
        <v/>
      </c>
      <c r="B821">
        <f>IF(A821&lt;&gt;"", NF!B819, "")</f>
        <v/>
      </c>
      <c r="C821">
        <f>IF(A821&lt;&gt;"", NF!C819, "")</f>
        <v/>
      </c>
      <c r="D821">
        <f>IF(A821&lt;&gt;"", NF!D819, "")</f>
        <v/>
      </c>
      <c r="E821">
        <f>IF(A821&lt;&gt;"", XLOOKUP(A821, Extrato!$D:$D, Extrato!$A:$A, ""), "")</f>
        <v/>
      </c>
      <c r="F821">
        <f>IF(A821&lt;&gt;"", XLOOKUP(A821, Extrato!$D:$D, Extrato!$B:$B, ""), "")</f>
        <v/>
      </c>
      <c r="G821">
        <f>IF(A821&lt;&gt;"", XLOOKUP(A821, Extrato!$D:$D, Extrato!$C:$C, ""), "")</f>
        <v/>
      </c>
      <c r="H821">
        <f>IF(A821="", "", IF(E821="", "Pendente", IF(C821=G821, "OK", "Valor divergente")))</f>
        <v/>
      </c>
    </row>
    <row r="822">
      <c r="A822">
        <f>IF(NF!A820&lt;&gt;"", NF!A820, "")</f>
        <v/>
      </c>
      <c r="B822">
        <f>IF(A822&lt;&gt;"", NF!B820, "")</f>
        <v/>
      </c>
      <c r="C822">
        <f>IF(A822&lt;&gt;"", NF!C820, "")</f>
        <v/>
      </c>
      <c r="D822">
        <f>IF(A822&lt;&gt;"", NF!D820, "")</f>
        <v/>
      </c>
      <c r="E822">
        <f>IF(A822&lt;&gt;"", XLOOKUP(A822, Extrato!$D:$D, Extrato!$A:$A, ""), "")</f>
        <v/>
      </c>
      <c r="F822">
        <f>IF(A822&lt;&gt;"", XLOOKUP(A822, Extrato!$D:$D, Extrato!$B:$B, ""), "")</f>
        <v/>
      </c>
      <c r="G822">
        <f>IF(A822&lt;&gt;"", XLOOKUP(A822, Extrato!$D:$D, Extrato!$C:$C, ""), "")</f>
        <v/>
      </c>
      <c r="H822">
        <f>IF(A822="", "", IF(E822="", "Pendente", IF(C822=G822, "OK", "Valor divergente")))</f>
        <v/>
      </c>
    </row>
    <row r="823">
      <c r="A823">
        <f>IF(NF!A821&lt;&gt;"", NF!A821, "")</f>
        <v/>
      </c>
      <c r="B823">
        <f>IF(A823&lt;&gt;"", NF!B821, "")</f>
        <v/>
      </c>
      <c r="C823">
        <f>IF(A823&lt;&gt;"", NF!C821, "")</f>
        <v/>
      </c>
      <c r="D823">
        <f>IF(A823&lt;&gt;"", NF!D821, "")</f>
        <v/>
      </c>
      <c r="E823">
        <f>IF(A823&lt;&gt;"", XLOOKUP(A823, Extrato!$D:$D, Extrato!$A:$A, ""), "")</f>
        <v/>
      </c>
      <c r="F823">
        <f>IF(A823&lt;&gt;"", XLOOKUP(A823, Extrato!$D:$D, Extrato!$B:$B, ""), "")</f>
        <v/>
      </c>
      <c r="G823">
        <f>IF(A823&lt;&gt;"", XLOOKUP(A823, Extrato!$D:$D, Extrato!$C:$C, ""), "")</f>
        <v/>
      </c>
      <c r="H823">
        <f>IF(A823="", "", IF(E823="", "Pendente", IF(C823=G823, "OK", "Valor divergente")))</f>
        <v/>
      </c>
    </row>
    <row r="824">
      <c r="A824">
        <f>IF(NF!A822&lt;&gt;"", NF!A822, "")</f>
        <v/>
      </c>
      <c r="B824">
        <f>IF(A824&lt;&gt;"", NF!B822, "")</f>
        <v/>
      </c>
      <c r="C824">
        <f>IF(A824&lt;&gt;"", NF!C822, "")</f>
        <v/>
      </c>
      <c r="D824">
        <f>IF(A824&lt;&gt;"", NF!D822, "")</f>
        <v/>
      </c>
      <c r="E824">
        <f>IF(A824&lt;&gt;"", XLOOKUP(A824, Extrato!$D:$D, Extrato!$A:$A, ""), "")</f>
        <v/>
      </c>
      <c r="F824">
        <f>IF(A824&lt;&gt;"", XLOOKUP(A824, Extrato!$D:$D, Extrato!$B:$B, ""), "")</f>
        <v/>
      </c>
      <c r="G824">
        <f>IF(A824&lt;&gt;"", XLOOKUP(A824, Extrato!$D:$D, Extrato!$C:$C, ""), "")</f>
        <v/>
      </c>
      <c r="H824">
        <f>IF(A824="", "", IF(E824="", "Pendente", IF(C824=G824, "OK", "Valor divergente")))</f>
        <v/>
      </c>
    </row>
    <row r="825">
      <c r="A825">
        <f>IF(NF!A823&lt;&gt;"", NF!A823, "")</f>
        <v/>
      </c>
      <c r="B825">
        <f>IF(A825&lt;&gt;"", NF!B823, "")</f>
        <v/>
      </c>
      <c r="C825">
        <f>IF(A825&lt;&gt;"", NF!C823, "")</f>
        <v/>
      </c>
      <c r="D825">
        <f>IF(A825&lt;&gt;"", NF!D823, "")</f>
        <v/>
      </c>
      <c r="E825">
        <f>IF(A825&lt;&gt;"", XLOOKUP(A825, Extrato!$D:$D, Extrato!$A:$A, ""), "")</f>
        <v/>
      </c>
      <c r="F825">
        <f>IF(A825&lt;&gt;"", XLOOKUP(A825, Extrato!$D:$D, Extrato!$B:$B, ""), "")</f>
        <v/>
      </c>
      <c r="G825">
        <f>IF(A825&lt;&gt;"", XLOOKUP(A825, Extrato!$D:$D, Extrato!$C:$C, ""), "")</f>
        <v/>
      </c>
      <c r="H825">
        <f>IF(A825="", "", IF(E825="", "Pendente", IF(C825=G825, "OK", "Valor divergente")))</f>
        <v/>
      </c>
    </row>
    <row r="826">
      <c r="A826">
        <f>IF(NF!A824&lt;&gt;"", NF!A824, "")</f>
        <v/>
      </c>
      <c r="B826">
        <f>IF(A826&lt;&gt;"", NF!B824, "")</f>
        <v/>
      </c>
      <c r="C826">
        <f>IF(A826&lt;&gt;"", NF!C824, "")</f>
        <v/>
      </c>
      <c r="D826">
        <f>IF(A826&lt;&gt;"", NF!D824, "")</f>
        <v/>
      </c>
      <c r="E826">
        <f>IF(A826&lt;&gt;"", XLOOKUP(A826, Extrato!$D:$D, Extrato!$A:$A, ""), "")</f>
        <v/>
      </c>
      <c r="F826">
        <f>IF(A826&lt;&gt;"", XLOOKUP(A826, Extrato!$D:$D, Extrato!$B:$B, ""), "")</f>
        <v/>
      </c>
      <c r="G826">
        <f>IF(A826&lt;&gt;"", XLOOKUP(A826, Extrato!$D:$D, Extrato!$C:$C, ""), "")</f>
        <v/>
      </c>
      <c r="H826">
        <f>IF(A826="", "", IF(E826="", "Pendente", IF(C826=G826, "OK", "Valor divergente")))</f>
        <v/>
      </c>
    </row>
    <row r="827">
      <c r="A827">
        <f>IF(NF!A825&lt;&gt;"", NF!A825, "")</f>
        <v/>
      </c>
      <c r="B827">
        <f>IF(A827&lt;&gt;"", NF!B825, "")</f>
        <v/>
      </c>
      <c r="C827">
        <f>IF(A827&lt;&gt;"", NF!C825, "")</f>
        <v/>
      </c>
      <c r="D827">
        <f>IF(A827&lt;&gt;"", NF!D825, "")</f>
        <v/>
      </c>
      <c r="E827">
        <f>IF(A827&lt;&gt;"", XLOOKUP(A827, Extrato!$D:$D, Extrato!$A:$A, ""), "")</f>
        <v/>
      </c>
      <c r="F827">
        <f>IF(A827&lt;&gt;"", XLOOKUP(A827, Extrato!$D:$D, Extrato!$B:$B, ""), "")</f>
        <v/>
      </c>
      <c r="G827">
        <f>IF(A827&lt;&gt;"", XLOOKUP(A827, Extrato!$D:$D, Extrato!$C:$C, ""), "")</f>
        <v/>
      </c>
      <c r="H827">
        <f>IF(A827="", "", IF(E827="", "Pendente", IF(C827=G827, "OK", "Valor divergente")))</f>
        <v/>
      </c>
    </row>
    <row r="828">
      <c r="A828">
        <f>IF(NF!A826&lt;&gt;"", NF!A826, "")</f>
        <v/>
      </c>
      <c r="B828">
        <f>IF(A828&lt;&gt;"", NF!B826, "")</f>
        <v/>
      </c>
      <c r="C828">
        <f>IF(A828&lt;&gt;"", NF!C826, "")</f>
        <v/>
      </c>
      <c r="D828">
        <f>IF(A828&lt;&gt;"", NF!D826, "")</f>
        <v/>
      </c>
      <c r="E828">
        <f>IF(A828&lt;&gt;"", XLOOKUP(A828, Extrato!$D:$D, Extrato!$A:$A, ""), "")</f>
        <v/>
      </c>
      <c r="F828">
        <f>IF(A828&lt;&gt;"", XLOOKUP(A828, Extrato!$D:$D, Extrato!$B:$B, ""), "")</f>
        <v/>
      </c>
      <c r="G828">
        <f>IF(A828&lt;&gt;"", XLOOKUP(A828, Extrato!$D:$D, Extrato!$C:$C, ""), "")</f>
        <v/>
      </c>
      <c r="H828">
        <f>IF(A828="", "", IF(E828="", "Pendente", IF(C828=G828, "OK", "Valor divergente")))</f>
        <v/>
      </c>
    </row>
    <row r="829">
      <c r="A829">
        <f>IF(NF!A827&lt;&gt;"", NF!A827, "")</f>
        <v/>
      </c>
      <c r="B829">
        <f>IF(A829&lt;&gt;"", NF!B827, "")</f>
        <v/>
      </c>
      <c r="C829">
        <f>IF(A829&lt;&gt;"", NF!C827, "")</f>
        <v/>
      </c>
      <c r="D829">
        <f>IF(A829&lt;&gt;"", NF!D827, "")</f>
        <v/>
      </c>
      <c r="E829">
        <f>IF(A829&lt;&gt;"", XLOOKUP(A829, Extrato!$D:$D, Extrato!$A:$A, ""), "")</f>
        <v/>
      </c>
      <c r="F829">
        <f>IF(A829&lt;&gt;"", XLOOKUP(A829, Extrato!$D:$D, Extrato!$B:$B, ""), "")</f>
        <v/>
      </c>
      <c r="G829">
        <f>IF(A829&lt;&gt;"", XLOOKUP(A829, Extrato!$D:$D, Extrato!$C:$C, ""), "")</f>
        <v/>
      </c>
      <c r="H829">
        <f>IF(A829="", "", IF(E829="", "Pendente", IF(C829=G829, "OK", "Valor divergente")))</f>
        <v/>
      </c>
    </row>
    <row r="830">
      <c r="A830">
        <f>IF(NF!A828&lt;&gt;"", NF!A828, "")</f>
        <v/>
      </c>
      <c r="B830">
        <f>IF(A830&lt;&gt;"", NF!B828, "")</f>
        <v/>
      </c>
      <c r="C830">
        <f>IF(A830&lt;&gt;"", NF!C828, "")</f>
        <v/>
      </c>
      <c r="D830">
        <f>IF(A830&lt;&gt;"", NF!D828, "")</f>
        <v/>
      </c>
      <c r="E830">
        <f>IF(A830&lt;&gt;"", XLOOKUP(A830, Extrato!$D:$D, Extrato!$A:$A, ""), "")</f>
        <v/>
      </c>
      <c r="F830">
        <f>IF(A830&lt;&gt;"", XLOOKUP(A830, Extrato!$D:$D, Extrato!$B:$B, ""), "")</f>
        <v/>
      </c>
      <c r="G830">
        <f>IF(A830&lt;&gt;"", XLOOKUP(A830, Extrato!$D:$D, Extrato!$C:$C, ""), "")</f>
        <v/>
      </c>
      <c r="H830">
        <f>IF(A830="", "", IF(E830="", "Pendente", IF(C830=G830, "OK", "Valor divergente")))</f>
        <v/>
      </c>
    </row>
    <row r="831">
      <c r="A831">
        <f>IF(NF!A829&lt;&gt;"", NF!A829, "")</f>
        <v/>
      </c>
      <c r="B831">
        <f>IF(A831&lt;&gt;"", NF!B829, "")</f>
        <v/>
      </c>
      <c r="C831">
        <f>IF(A831&lt;&gt;"", NF!C829, "")</f>
        <v/>
      </c>
      <c r="D831">
        <f>IF(A831&lt;&gt;"", NF!D829, "")</f>
        <v/>
      </c>
      <c r="E831">
        <f>IF(A831&lt;&gt;"", XLOOKUP(A831, Extrato!$D:$D, Extrato!$A:$A, ""), "")</f>
        <v/>
      </c>
      <c r="F831">
        <f>IF(A831&lt;&gt;"", XLOOKUP(A831, Extrato!$D:$D, Extrato!$B:$B, ""), "")</f>
        <v/>
      </c>
      <c r="G831">
        <f>IF(A831&lt;&gt;"", XLOOKUP(A831, Extrato!$D:$D, Extrato!$C:$C, ""), "")</f>
        <v/>
      </c>
      <c r="H831">
        <f>IF(A831="", "", IF(E831="", "Pendente", IF(C831=G831, "OK", "Valor divergente")))</f>
        <v/>
      </c>
    </row>
    <row r="832">
      <c r="A832">
        <f>IF(NF!A830&lt;&gt;"", NF!A830, "")</f>
        <v/>
      </c>
      <c r="B832">
        <f>IF(A832&lt;&gt;"", NF!B830, "")</f>
        <v/>
      </c>
      <c r="C832">
        <f>IF(A832&lt;&gt;"", NF!C830, "")</f>
        <v/>
      </c>
      <c r="D832">
        <f>IF(A832&lt;&gt;"", NF!D830, "")</f>
        <v/>
      </c>
      <c r="E832">
        <f>IF(A832&lt;&gt;"", XLOOKUP(A832, Extrato!$D:$D, Extrato!$A:$A, ""), "")</f>
        <v/>
      </c>
      <c r="F832">
        <f>IF(A832&lt;&gt;"", XLOOKUP(A832, Extrato!$D:$D, Extrato!$B:$B, ""), "")</f>
        <v/>
      </c>
      <c r="G832">
        <f>IF(A832&lt;&gt;"", XLOOKUP(A832, Extrato!$D:$D, Extrato!$C:$C, ""), "")</f>
        <v/>
      </c>
      <c r="H832">
        <f>IF(A832="", "", IF(E832="", "Pendente", IF(C832=G832, "OK", "Valor divergente")))</f>
        <v/>
      </c>
    </row>
    <row r="833">
      <c r="A833">
        <f>IF(NF!A831&lt;&gt;"", NF!A831, "")</f>
        <v/>
      </c>
      <c r="B833">
        <f>IF(A833&lt;&gt;"", NF!B831, "")</f>
        <v/>
      </c>
      <c r="C833">
        <f>IF(A833&lt;&gt;"", NF!C831, "")</f>
        <v/>
      </c>
      <c r="D833">
        <f>IF(A833&lt;&gt;"", NF!D831, "")</f>
        <v/>
      </c>
      <c r="E833">
        <f>IF(A833&lt;&gt;"", XLOOKUP(A833, Extrato!$D:$D, Extrato!$A:$A, ""), "")</f>
        <v/>
      </c>
      <c r="F833">
        <f>IF(A833&lt;&gt;"", XLOOKUP(A833, Extrato!$D:$D, Extrato!$B:$B, ""), "")</f>
        <v/>
      </c>
      <c r="G833">
        <f>IF(A833&lt;&gt;"", XLOOKUP(A833, Extrato!$D:$D, Extrato!$C:$C, ""), "")</f>
        <v/>
      </c>
      <c r="H833">
        <f>IF(A833="", "", IF(E833="", "Pendente", IF(C833=G833, "OK", "Valor divergente")))</f>
        <v/>
      </c>
    </row>
    <row r="834">
      <c r="A834">
        <f>IF(NF!A832&lt;&gt;"", NF!A832, "")</f>
        <v/>
      </c>
      <c r="B834">
        <f>IF(A834&lt;&gt;"", NF!B832, "")</f>
        <v/>
      </c>
      <c r="C834">
        <f>IF(A834&lt;&gt;"", NF!C832, "")</f>
        <v/>
      </c>
      <c r="D834">
        <f>IF(A834&lt;&gt;"", NF!D832, "")</f>
        <v/>
      </c>
      <c r="E834">
        <f>IF(A834&lt;&gt;"", XLOOKUP(A834, Extrato!$D:$D, Extrato!$A:$A, ""), "")</f>
        <v/>
      </c>
      <c r="F834">
        <f>IF(A834&lt;&gt;"", XLOOKUP(A834, Extrato!$D:$D, Extrato!$B:$B, ""), "")</f>
        <v/>
      </c>
      <c r="G834">
        <f>IF(A834&lt;&gt;"", XLOOKUP(A834, Extrato!$D:$D, Extrato!$C:$C, ""), "")</f>
        <v/>
      </c>
      <c r="H834">
        <f>IF(A834="", "", IF(E834="", "Pendente", IF(C834=G834, "OK", "Valor divergente")))</f>
        <v/>
      </c>
    </row>
    <row r="835">
      <c r="A835">
        <f>IF(NF!A833&lt;&gt;"", NF!A833, "")</f>
        <v/>
      </c>
      <c r="B835">
        <f>IF(A835&lt;&gt;"", NF!B833, "")</f>
        <v/>
      </c>
      <c r="C835">
        <f>IF(A835&lt;&gt;"", NF!C833, "")</f>
        <v/>
      </c>
      <c r="D835">
        <f>IF(A835&lt;&gt;"", NF!D833, "")</f>
        <v/>
      </c>
      <c r="E835">
        <f>IF(A835&lt;&gt;"", XLOOKUP(A835, Extrato!$D:$D, Extrato!$A:$A, ""), "")</f>
        <v/>
      </c>
      <c r="F835">
        <f>IF(A835&lt;&gt;"", XLOOKUP(A835, Extrato!$D:$D, Extrato!$B:$B, ""), "")</f>
        <v/>
      </c>
      <c r="G835">
        <f>IF(A835&lt;&gt;"", XLOOKUP(A835, Extrato!$D:$D, Extrato!$C:$C, ""), "")</f>
        <v/>
      </c>
      <c r="H835">
        <f>IF(A835="", "", IF(E835="", "Pendente", IF(C835=G835, "OK", "Valor divergente")))</f>
        <v/>
      </c>
    </row>
    <row r="836">
      <c r="A836">
        <f>IF(NF!A834&lt;&gt;"", NF!A834, "")</f>
        <v/>
      </c>
      <c r="B836">
        <f>IF(A836&lt;&gt;"", NF!B834, "")</f>
        <v/>
      </c>
      <c r="C836">
        <f>IF(A836&lt;&gt;"", NF!C834, "")</f>
        <v/>
      </c>
      <c r="D836">
        <f>IF(A836&lt;&gt;"", NF!D834, "")</f>
        <v/>
      </c>
      <c r="E836">
        <f>IF(A836&lt;&gt;"", XLOOKUP(A836, Extrato!$D:$D, Extrato!$A:$A, ""), "")</f>
        <v/>
      </c>
      <c r="F836">
        <f>IF(A836&lt;&gt;"", XLOOKUP(A836, Extrato!$D:$D, Extrato!$B:$B, ""), "")</f>
        <v/>
      </c>
      <c r="G836">
        <f>IF(A836&lt;&gt;"", XLOOKUP(A836, Extrato!$D:$D, Extrato!$C:$C, ""), "")</f>
        <v/>
      </c>
      <c r="H836">
        <f>IF(A836="", "", IF(E836="", "Pendente", IF(C836=G836, "OK", "Valor divergente")))</f>
        <v/>
      </c>
    </row>
    <row r="837">
      <c r="A837">
        <f>IF(NF!A835&lt;&gt;"", NF!A835, "")</f>
        <v/>
      </c>
      <c r="B837">
        <f>IF(A837&lt;&gt;"", NF!B835, "")</f>
        <v/>
      </c>
      <c r="C837">
        <f>IF(A837&lt;&gt;"", NF!C835, "")</f>
        <v/>
      </c>
      <c r="D837">
        <f>IF(A837&lt;&gt;"", NF!D835, "")</f>
        <v/>
      </c>
      <c r="E837">
        <f>IF(A837&lt;&gt;"", XLOOKUP(A837, Extrato!$D:$D, Extrato!$A:$A, ""), "")</f>
        <v/>
      </c>
      <c r="F837">
        <f>IF(A837&lt;&gt;"", XLOOKUP(A837, Extrato!$D:$D, Extrato!$B:$B, ""), "")</f>
        <v/>
      </c>
      <c r="G837">
        <f>IF(A837&lt;&gt;"", XLOOKUP(A837, Extrato!$D:$D, Extrato!$C:$C, ""), "")</f>
        <v/>
      </c>
      <c r="H837">
        <f>IF(A837="", "", IF(E837="", "Pendente", IF(C837=G837, "OK", "Valor divergente")))</f>
        <v/>
      </c>
    </row>
    <row r="838">
      <c r="A838">
        <f>IF(NF!A836&lt;&gt;"", NF!A836, "")</f>
        <v/>
      </c>
      <c r="B838">
        <f>IF(A838&lt;&gt;"", NF!B836, "")</f>
        <v/>
      </c>
      <c r="C838">
        <f>IF(A838&lt;&gt;"", NF!C836, "")</f>
        <v/>
      </c>
      <c r="D838">
        <f>IF(A838&lt;&gt;"", NF!D836, "")</f>
        <v/>
      </c>
      <c r="E838">
        <f>IF(A838&lt;&gt;"", XLOOKUP(A838, Extrato!$D:$D, Extrato!$A:$A, ""), "")</f>
        <v/>
      </c>
      <c r="F838">
        <f>IF(A838&lt;&gt;"", XLOOKUP(A838, Extrato!$D:$D, Extrato!$B:$B, ""), "")</f>
        <v/>
      </c>
      <c r="G838">
        <f>IF(A838&lt;&gt;"", XLOOKUP(A838, Extrato!$D:$D, Extrato!$C:$C, ""), "")</f>
        <v/>
      </c>
      <c r="H838">
        <f>IF(A838="", "", IF(E838="", "Pendente", IF(C838=G838, "OK", "Valor divergente")))</f>
        <v/>
      </c>
    </row>
    <row r="839">
      <c r="A839">
        <f>IF(NF!A837&lt;&gt;"", NF!A837, "")</f>
        <v/>
      </c>
      <c r="B839">
        <f>IF(A839&lt;&gt;"", NF!B837, "")</f>
        <v/>
      </c>
      <c r="C839">
        <f>IF(A839&lt;&gt;"", NF!C837, "")</f>
        <v/>
      </c>
      <c r="D839">
        <f>IF(A839&lt;&gt;"", NF!D837, "")</f>
        <v/>
      </c>
      <c r="E839">
        <f>IF(A839&lt;&gt;"", XLOOKUP(A839, Extrato!$D:$D, Extrato!$A:$A, ""), "")</f>
        <v/>
      </c>
      <c r="F839">
        <f>IF(A839&lt;&gt;"", XLOOKUP(A839, Extrato!$D:$D, Extrato!$B:$B, ""), "")</f>
        <v/>
      </c>
      <c r="G839">
        <f>IF(A839&lt;&gt;"", XLOOKUP(A839, Extrato!$D:$D, Extrato!$C:$C, ""), "")</f>
        <v/>
      </c>
      <c r="H839">
        <f>IF(A839="", "", IF(E839="", "Pendente", IF(C839=G839, "OK", "Valor divergente")))</f>
        <v/>
      </c>
    </row>
    <row r="840">
      <c r="A840">
        <f>IF(NF!A838&lt;&gt;"", NF!A838, "")</f>
        <v/>
      </c>
      <c r="B840">
        <f>IF(A840&lt;&gt;"", NF!B838, "")</f>
        <v/>
      </c>
      <c r="C840">
        <f>IF(A840&lt;&gt;"", NF!C838, "")</f>
        <v/>
      </c>
      <c r="D840">
        <f>IF(A840&lt;&gt;"", NF!D838, "")</f>
        <v/>
      </c>
      <c r="E840">
        <f>IF(A840&lt;&gt;"", XLOOKUP(A840, Extrato!$D:$D, Extrato!$A:$A, ""), "")</f>
        <v/>
      </c>
      <c r="F840">
        <f>IF(A840&lt;&gt;"", XLOOKUP(A840, Extrato!$D:$D, Extrato!$B:$B, ""), "")</f>
        <v/>
      </c>
      <c r="G840">
        <f>IF(A840&lt;&gt;"", XLOOKUP(A840, Extrato!$D:$D, Extrato!$C:$C, ""), "")</f>
        <v/>
      </c>
      <c r="H840">
        <f>IF(A840="", "", IF(E840="", "Pendente", IF(C840=G840, "OK", "Valor divergente")))</f>
        <v/>
      </c>
    </row>
    <row r="841">
      <c r="A841">
        <f>IF(NF!A839&lt;&gt;"", NF!A839, "")</f>
        <v/>
      </c>
      <c r="B841">
        <f>IF(A841&lt;&gt;"", NF!B839, "")</f>
        <v/>
      </c>
      <c r="C841">
        <f>IF(A841&lt;&gt;"", NF!C839, "")</f>
        <v/>
      </c>
      <c r="D841">
        <f>IF(A841&lt;&gt;"", NF!D839, "")</f>
        <v/>
      </c>
      <c r="E841">
        <f>IF(A841&lt;&gt;"", XLOOKUP(A841, Extrato!$D:$D, Extrato!$A:$A, ""), "")</f>
        <v/>
      </c>
      <c r="F841">
        <f>IF(A841&lt;&gt;"", XLOOKUP(A841, Extrato!$D:$D, Extrato!$B:$B, ""), "")</f>
        <v/>
      </c>
      <c r="G841">
        <f>IF(A841&lt;&gt;"", XLOOKUP(A841, Extrato!$D:$D, Extrato!$C:$C, ""), "")</f>
        <v/>
      </c>
      <c r="H841">
        <f>IF(A841="", "", IF(E841="", "Pendente", IF(C841=G841, "OK", "Valor divergente")))</f>
        <v/>
      </c>
    </row>
    <row r="842">
      <c r="A842">
        <f>IF(NF!A840&lt;&gt;"", NF!A840, "")</f>
        <v/>
      </c>
      <c r="B842">
        <f>IF(A842&lt;&gt;"", NF!B840, "")</f>
        <v/>
      </c>
      <c r="C842">
        <f>IF(A842&lt;&gt;"", NF!C840, "")</f>
        <v/>
      </c>
      <c r="D842">
        <f>IF(A842&lt;&gt;"", NF!D840, "")</f>
        <v/>
      </c>
      <c r="E842">
        <f>IF(A842&lt;&gt;"", XLOOKUP(A842, Extrato!$D:$D, Extrato!$A:$A, ""), "")</f>
        <v/>
      </c>
      <c r="F842">
        <f>IF(A842&lt;&gt;"", XLOOKUP(A842, Extrato!$D:$D, Extrato!$B:$B, ""), "")</f>
        <v/>
      </c>
      <c r="G842">
        <f>IF(A842&lt;&gt;"", XLOOKUP(A842, Extrato!$D:$D, Extrato!$C:$C, ""), "")</f>
        <v/>
      </c>
      <c r="H842">
        <f>IF(A842="", "", IF(E842="", "Pendente", IF(C842=G842, "OK", "Valor divergente")))</f>
        <v/>
      </c>
    </row>
    <row r="843">
      <c r="A843">
        <f>IF(NF!A841&lt;&gt;"", NF!A841, "")</f>
        <v/>
      </c>
      <c r="B843">
        <f>IF(A843&lt;&gt;"", NF!B841, "")</f>
        <v/>
      </c>
      <c r="C843">
        <f>IF(A843&lt;&gt;"", NF!C841, "")</f>
        <v/>
      </c>
      <c r="D843">
        <f>IF(A843&lt;&gt;"", NF!D841, "")</f>
        <v/>
      </c>
      <c r="E843">
        <f>IF(A843&lt;&gt;"", XLOOKUP(A843, Extrato!$D:$D, Extrato!$A:$A, ""), "")</f>
        <v/>
      </c>
      <c r="F843">
        <f>IF(A843&lt;&gt;"", XLOOKUP(A843, Extrato!$D:$D, Extrato!$B:$B, ""), "")</f>
        <v/>
      </c>
      <c r="G843">
        <f>IF(A843&lt;&gt;"", XLOOKUP(A843, Extrato!$D:$D, Extrato!$C:$C, ""), "")</f>
        <v/>
      </c>
      <c r="H843">
        <f>IF(A843="", "", IF(E843="", "Pendente", IF(C843=G843, "OK", "Valor divergente")))</f>
        <v/>
      </c>
    </row>
    <row r="844">
      <c r="A844">
        <f>IF(NF!A842&lt;&gt;"", NF!A842, "")</f>
        <v/>
      </c>
      <c r="B844">
        <f>IF(A844&lt;&gt;"", NF!B842, "")</f>
        <v/>
      </c>
      <c r="C844">
        <f>IF(A844&lt;&gt;"", NF!C842, "")</f>
        <v/>
      </c>
      <c r="D844">
        <f>IF(A844&lt;&gt;"", NF!D842, "")</f>
        <v/>
      </c>
      <c r="E844">
        <f>IF(A844&lt;&gt;"", XLOOKUP(A844, Extrato!$D:$D, Extrato!$A:$A, ""), "")</f>
        <v/>
      </c>
      <c r="F844">
        <f>IF(A844&lt;&gt;"", XLOOKUP(A844, Extrato!$D:$D, Extrato!$B:$B, ""), "")</f>
        <v/>
      </c>
      <c r="G844">
        <f>IF(A844&lt;&gt;"", XLOOKUP(A844, Extrato!$D:$D, Extrato!$C:$C, ""), "")</f>
        <v/>
      </c>
      <c r="H844">
        <f>IF(A844="", "", IF(E844="", "Pendente", IF(C844=G844, "OK", "Valor divergente")))</f>
        <v/>
      </c>
    </row>
    <row r="845">
      <c r="A845">
        <f>IF(NF!A843&lt;&gt;"", NF!A843, "")</f>
        <v/>
      </c>
      <c r="B845">
        <f>IF(A845&lt;&gt;"", NF!B843, "")</f>
        <v/>
      </c>
      <c r="C845">
        <f>IF(A845&lt;&gt;"", NF!C843, "")</f>
        <v/>
      </c>
      <c r="D845">
        <f>IF(A845&lt;&gt;"", NF!D843, "")</f>
        <v/>
      </c>
      <c r="E845">
        <f>IF(A845&lt;&gt;"", XLOOKUP(A845, Extrato!$D:$D, Extrato!$A:$A, ""), "")</f>
        <v/>
      </c>
      <c r="F845">
        <f>IF(A845&lt;&gt;"", XLOOKUP(A845, Extrato!$D:$D, Extrato!$B:$B, ""), "")</f>
        <v/>
      </c>
      <c r="G845">
        <f>IF(A845&lt;&gt;"", XLOOKUP(A845, Extrato!$D:$D, Extrato!$C:$C, ""), "")</f>
        <v/>
      </c>
      <c r="H845">
        <f>IF(A845="", "", IF(E845="", "Pendente", IF(C845=G845, "OK", "Valor divergente")))</f>
        <v/>
      </c>
    </row>
    <row r="846">
      <c r="A846">
        <f>IF(NF!A844&lt;&gt;"", NF!A844, "")</f>
        <v/>
      </c>
      <c r="B846">
        <f>IF(A846&lt;&gt;"", NF!B844, "")</f>
        <v/>
      </c>
      <c r="C846">
        <f>IF(A846&lt;&gt;"", NF!C844, "")</f>
        <v/>
      </c>
      <c r="D846">
        <f>IF(A846&lt;&gt;"", NF!D844, "")</f>
        <v/>
      </c>
      <c r="E846">
        <f>IF(A846&lt;&gt;"", XLOOKUP(A846, Extrato!$D:$D, Extrato!$A:$A, ""), "")</f>
        <v/>
      </c>
      <c r="F846">
        <f>IF(A846&lt;&gt;"", XLOOKUP(A846, Extrato!$D:$D, Extrato!$B:$B, ""), "")</f>
        <v/>
      </c>
      <c r="G846">
        <f>IF(A846&lt;&gt;"", XLOOKUP(A846, Extrato!$D:$D, Extrato!$C:$C, ""), "")</f>
        <v/>
      </c>
      <c r="H846">
        <f>IF(A846="", "", IF(E846="", "Pendente", IF(C846=G846, "OK", "Valor divergente")))</f>
        <v/>
      </c>
    </row>
    <row r="847">
      <c r="A847">
        <f>IF(NF!A845&lt;&gt;"", NF!A845, "")</f>
        <v/>
      </c>
      <c r="B847">
        <f>IF(A847&lt;&gt;"", NF!B845, "")</f>
        <v/>
      </c>
      <c r="C847">
        <f>IF(A847&lt;&gt;"", NF!C845, "")</f>
        <v/>
      </c>
      <c r="D847">
        <f>IF(A847&lt;&gt;"", NF!D845, "")</f>
        <v/>
      </c>
      <c r="E847">
        <f>IF(A847&lt;&gt;"", XLOOKUP(A847, Extrato!$D:$D, Extrato!$A:$A, ""), "")</f>
        <v/>
      </c>
      <c r="F847">
        <f>IF(A847&lt;&gt;"", XLOOKUP(A847, Extrato!$D:$D, Extrato!$B:$B, ""), "")</f>
        <v/>
      </c>
      <c r="G847">
        <f>IF(A847&lt;&gt;"", XLOOKUP(A847, Extrato!$D:$D, Extrato!$C:$C, ""), "")</f>
        <v/>
      </c>
      <c r="H847">
        <f>IF(A847="", "", IF(E847="", "Pendente", IF(C847=G847, "OK", "Valor divergente")))</f>
        <v/>
      </c>
    </row>
    <row r="848">
      <c r="A848">
        <f>IF(NF!A846&lt;&gt;"", NF!A846, "")</f>
        <v/>
      </c>
      <c r="B848">
        <f>IF(A848&lt;&gt;"", NF!B846, "")</f>
        <v/>
      </c>
      <c r="C848">
        <f>IF(A848&lt;&gt;"", NF!C846, "")</f>
        <v/>
      </c>
      <c r="D848">
        <f>IF(A848&lt;&gt;"", NF!D846, "")</f>
        <v/>
      </c>
      <c r="E848">
        <f>IF(A848&lt;&gt;"", XLOOKUP(A848, Extrato!$D:$D, Extrato!$A:$A, ""), "")</f>
        <v/>
      </c>
      <c r="F848">
        <f>IF(A848&lt;&gt;"", XLOOKUP(A848, Extrato!$D:$D, Extrato!$B:$B, ""), "")</f>
        <v/>
      </c>
      <c r="G848">
        <f>IF(A848&lt;&gt;"", XLOOKUP(A848, Extrato!$D:$D, Extrato!$C:$C, ""), "")</f>
        <v/>
      </c>
      <c r="H848">
        <f>IF(A848="", "", IF(E848="", "Pendente", IF(C848=G848, "OK", "Valor divergente")))</f>
        <v/>
      </c>
    </row>
    <row r="849">
      <c r="A849">
        <f>IF(NF!A847&lt;&gt;"", NF!A847, "")</f>
        <v/>
      </c>
      <c r="B849">
        <f>IF(A849&lt;&gt;"", NF!B847, "")</f>
        <v/>
      </c>
      <c r="C849">
        <f>IF(A849&lt;&gt;"", NF!C847, "")</f>
        <v/>
      </c>
      <c r="D849">
        <f>IF(A849&lt;&gt;"", NF!D847, "")</f>
        <v/>
      </c>
      <c r="E849">
        <f>IF(A849&lt;&gt;"", XLOOKUP(A849, Extrato!$D:$D, Extrato!$A:$A, ""), "")</f>
        <v/>
      </c>
      <c r="F849">
        <f>IF(A849&lt;&gt;"", XLOOKUP(A849, Extrato!$D:$D, Extrato!$B:$B, ""), "")</f>
        <v/>
      </c>
      <c r="G849">
        <f>IF(A849&lt;&gt;"", XLOOKUP(A849, Extrato!$D:$D, Extrato!$C:$C, ""), "")</f>
        <v/>
      </c>
      <c r="H849">
        <f>IF(A849="", "", IF(E849="", "Pendente", IF(C849=G849, "OK", "Valor divergente")))</f>
        <v/>
      </c>
    </row>
    <row r="850">
      <c r="A850">
        <f>IF(NF!A848&lt;&gt;"", NF!A848, "")</f>
        <v/>
      </c>
      <c r="B850">
        <f>IF(A850&lt;&gt;"", NF!B848, "")</f>
        <v/>
      </c>
      <c r="C850">
        <f>IF(A850&lt;&gt;"", NF!C848, "")</f>
        <v/>
      </c>
      <c r="D850">
        <f>IF(A850&lt;&gt;"", NF!D848, "")</f>
        <v/>
      </c>
      <c r="E850">
        <f>IF(A850&lt;&gt;"", XLOOKUP(A850, Extrato!$D:$D, Extrato!$A:$A, ""), "")</f>
        <v/>
      </c>
      <c r="F850">
        <f>IF(A850&lt;&gt;"", XLOOKUP(A850, Extrato!$D:$D, Extrato!$B:$B, ""), "")</f>
        <v/>
      </c>
      <c r="G850">
        <f>IF(A850&lt;&gt;"", XLOOKUP(A850, Extrato!$D:$D, Extrato!$C:$C, ""), "")</f>
        <v/>
      </c>
      <c r="H850">
        <f>IF(A850="", "", IF(E850="", "Pendente", IF(C850=G850, "OK", "Valor divergente")))</f>
        <v/>
      </c>
    </row>
    <row r="851">
      <c r="A851">
        <f>IF(NF!A849&lt;&gt;"", NF!A849, "")</f>
        <v/>
      </c>
      <c r="B851">
        <f>IF(A851&lt;&gt;"", NF!B849, "")</f>
        <v/>
      </c>
      <c r="C851">
        <f>IF(A851&lt;&gt;"", NF!C849, "")</f>
        <v/>
      </c>
      <c r="D851">
        <f>IF(A851&lt;&gt;"", NF!D849, "")</f>
        <v/>
      </c>
      <c r="E851">
        <f>IF(A851&lt;&gt;"", XLOOKUP(A851, Extrato!$D:$D, Extrato!$A:$A, ""), "")</f>
        <v/>
      </c>
      <c r="F851">
        <f>IF(A851&lt;&gt;"", XLOOKUP(A851, Extrato!$D:$D, Extrato!$B:$B, ""), "")</f>
        <v/>
      </c>
      <c r="G851">
        <f>IF(A851&lt;&gt;"", XLOOKUP(A851, Extrato!$D:$D, Extrato!$C:$C, ""), "")</f>
        <v/>
      </c>
      <c r="H851">
        <f>IF(A851="", "", IF(E851="", "Pendente", IF(C851=G851, "OK", "Valor divergente")))</f>
        <v/>
      </c>
    </row>
    <row r="852">
      <c r="A852">
        <f>IF(NF!A850&lt;&gt;"", NF!A850, "")</f>
        <v/>
      </c>
      <c r="B852">
        <f>IF(A852&lt;&gt;"", NF!B850, "")</f>
        <v/>
      </c>
      <c r="C852">
        <f>IF(A852&lt;&gt;"", NF!C850, "")</f>
        <v/>
      </c>
      <c r="D852">
        <f>IF(A852&lt;&gt;"", NF!D850, "")</f>
        <v/>
      </c>
      <c r="E852">
        <f>IF(A852&lt;&gt;"", XLOOKUP(A852, Extrato!$D:$D, Extrato!$A:$A, ""), "")</f>
        <v/>
      </c>
      <c r="F852">
        <f>IF(A852&lt;&gt;"", XLOOKUP(A852, Extrato!$D:$D, Extrato!$B:$B, ""), "")</f>
        <v/>
      </c>
      <c r="G852">
        <f>IF(A852&lt;&gt;"", XLOOKUP(A852, Extrato!$D:$D, Extrato!$C:$C, ""), "")</f>
        <v/>
      </c>
      <c r="H852">
        <f>IF(A852="", "", IF(E852="", "Pendente", IF(C852=G852, "OK", "Valor divergente")))</f>
        <v/>
      </c>
    </row>
    <row r="853">
      <c r="A853">
        <f>IF(NF!A851&lt;&gt;"", NF!A851, "")</f>
        <v/>
      </c>
      <c r="B853">
        <f>IF(A853&lt;&gt;"", NF!B851, "")</f>
        <v/>
      </c>
      <c r="C853">
        <f>IF(A853&lt;&gt;"", NF!C851, "")</f>
        <v/>
      </c>
      <c r="D853">
        <f>IF(A853&lt;&gt;"", NF!D851, "")</f>
        <v/>
      </c>
      <c r="E853">
        <f>IF(A853&lt;&gt;"", XLOOKUP(A853, Extrato!$D:$D, Extrato!$A:$A, ""), "")</f>
        <v/>
      </c>
      <c r="F853">
        <f>IF(A853&lt;&gt;"", XLOOKUP(A853, Extrato!$D:$D, Extrato!$B:$B, ""), "")</f>
        <v/>
      </c>
      <c r="G853">
        <f>IF(A853&lt;&gt;"", XLOOKUP(A853, Extrato!$D:$D, Extrato!$C:$C, ""), "")</f>
        <v/>
      </c>
      <c r="H853">
        <f>IF(A853="", "", IF(E853="", "Pendente", IF(C853=G853, "OK", "Valor divergente")))</f>
        <v/>
      </c>
    </row>
    <row r="854">
      <c r="A854">
        <f>IF(NF!A852&lt;&gt;"", NF!A852, "")</f>
        <v/>
      </c>
      <c r="B854">
        <f>IF(A854&lt;&gt;"", NF!B852, "")</f>
        <v/>
      </c>
      <c r="C854">
        <f>IF(A854&lt;&gt;"", NF!C852, "")</f>
        <v/>
      </c>
      <c r="D854">
        <f>IF(A854&lt;&gt;"", NF!D852, "")</f>
        <v/>
      </c>
      <c r="E854">
        <f>IF(A854&lt;&gt;"", XLOOKUP(A854, Extrato!$D:$D, Extrato!$A:$A, ""), "")</f>
        <v/>
      </c>
      <c r="F854">
        <f>IF(A854&lt;&gt;"", XLOOKUP(A854, Extrato!$D:$D, Extrato!$B:$B, ""), "")</f>
        <v/>
      </c>
      <c r="G854">
        <f>IF(A854&lt;&gt;"", XLOOKUP(A854, Extrato!$D:$D, Extrato!$C:$C, ""), "")</f>
        <v/>
      </c>
      <c r="H854">
        <f>IF(A854="", "", IF(E854="", "Pendente", IF(C854=G854, "OK", "Valor divergente")))</f>
        <v/>
      </c>
    </row>
    <row r="855">
      <c r="A855">
        <f>IF(NF!A853&lt;&gt;"", NF!A853, "")</f>
        <v/>
      </c>
      <c r="B855">
        <f>IF(A855&lt;&gt;"", NF!B853, "")</f>
        <v/>
      </c>
      <c r="C855">
        <f>IF(A855&lt;&gt;"", NF!C853, "")</f>
        <v/>
      </c>
      <c r="D855">
        <f>IF(A855&lt;&gt;"", NF!D853, "")</f>
        <v/>
      </c>
      <c r="E855">
        <f>IF(A855&lt;&gt;"", XLOOKUP(A855, Extrato!$D:$D, Extrato!$A:$A, ""), "")</f>
        <v/>
      </c>
      <c r="F855">
        <f>IF(A855&lt;&gt;"", XLOOKUP(A855, Extrato!$D:$D, Extrato!$B:$B, ""), "")</f>
        <v/>
      </c>
      <c r="G855">
        <f>IF(A855&lt;&gt;"", XLOOKUP(A855, Extrato!$D:$D, Extrato!$C:$C, ""), "")</f>
        <v/>
      </c>
      <c r="H855">
        <f>IF(A855="", "", IF(E855="", "Pendente", IF(C855=G855, "OK", "Valor divergente")))</f>
        <v/>
      </c>
    </row>
    <row r="856">
      <c r="A856">
        <f>IF(NF!A854&lt;&gt;"", NF!A854, "")</f>
        <v/>
      </c>
      <c r="B856">
        <f>IF(A856&lt;&gt;"", NF!B854, "")</f>
        <v/>
      </c>
      <c r="C856">
        <f>IF(A856&lt;&gt;"", NF!C854, "")</f>
        <v/>
      </c>
      <c r="D856">
        <f>IF(A856&lt;&gt;"", NF!D854, "")</f>
        <v/>
      </c>
      <c r="E856">
        <f>IF(A856&lt;&gt;"", XLOOKUP(A856, Extrato!$D:$D, Extrato!$A:$A, ""), "")</f>
        <v/>
      </c>
      <c r="F856">
        <f>IF(A856&lt;&gt;"", XLOOKUP(A856, Extrato!$D:$D, Extrato!$B:$B, ""), "")</f>
        <v/>
      </c>
      <c r="G856">
        <f>IF(A856&lt;&gt;"", XLOOKUP(A856, Extrato!$D:$D, Extrato!$C:$C, ""), "")</f>
        <v/>
      </c>
      <c r="H856">
        <f>IF(A856="", "", IF(E856="", "Pendente", IF(C856=G856, "OK", "Valor divergente")))</f>
        <v/>
      </c>
    </row>
    <row r="857">
      <c r="A857">
        <f>IF(NF!A855&lt;&gt;"", NF!A855, "")</f>
        <v/>
      </c>
      <c r="B857">
        <f>IF(A857&lt;&gt;"", NF!B855, "")</f>
        <v/>
      </c>
      <c r="C857">
        <f>IF(A857&lt;&gt;"", NF!C855, "")</f>
        <v/>
      </c>
      <c r="D857">
        <f>IF(A857&lt;&gt;"", NF!D855, "")</f>
        <v/>
      </c>
      <c r="E857">
        <f>IF(A857&lt;&gt;"", XLOOKUP(A857, Extrato!$D:$D, Extrato!$A:$A, ""), "")</f>
        <v/>
      </c>
      <c r="F857">
        <f>IF(A857&lt;&gt;"", XLOOKUP(A857, Extrato!$D:$D, Extrato!$B:$B, ""), "")</f>
        <v/>
      </c>
      <c r="G857">
        <f>IF(A857&lt;&gt;"", XLOOKUP(A857, Extrato!$D:$D, Extrato!$C:$C, ""), "")</f>
        <v/>
      </c>
      <c r="H857">
        <f>IF(A857="", "", IF(E857="", "Pendente", IF(C857=G857, "OK", "Valor divergente")))</f>
        <v/>
      </c>
    </row>
    <row r="858">
      <c r="A858">
        <f>IF(NF!A856&lt;&gt;"", NF!A856, "")</f>
        <v/>
      </c>
      <c r="B858">
        <f>IF(A858&lt;&gt;"", NF!B856, "")</f>
        <v/>
      </c>
      <c r="C858">
        <f>IF(A858&lt;&gt;"", NF!C856, "")</f>
        <v/>
      </c>
      <c r="D858">
        <f>IF(A858&lt;&gt;"", NF!D856, "")</f>
        <v/>
      </c>
      <c r="E858">
        <f>IF(A858&lt;&gt;"", XLOOKUP(A858, Extrato!$D:$D, Extrato!$A:$A, ""), "")</f>
        <v/>
      </c>
      <c r="F858">
        <f>IF(A858&lt;&gt;"", XLOOKUP(A858, Extrato!$D:$D, Extrato!$B:$B, ""), "")</f>
        <v/>
      </c>
      <c r="G858">
        <f>IF(A858&lt;&gt;"", XLOOKUP(A858, Extrato!$D:$D, Extrato!$C:$C, ""), "")</f>
        <v/>
      </c>
      <c r="H858">
        <f>IF(A858="", "", IF(E858="", "Pendente", IF(C858=G858, "OK", "Valor divergente")))</f>
        <v/>
      </c>
    </row>
    <row r="859">
      <c r="A859">
        <f>IF(NF!A857&lt;&gt;"", NF!A857, "")</f>
        <v/>
      </c>
      <c r="B859">
        <f>IF(A859&lt;&gt;"", NF!B857, "")</f>
        <v/>
      </c>
      <c r="C859">
        <f>IF(A859&lt;&gt;"", NF!C857, "")</f>
        <v/>
      </c>
      <c r="D859">
        <f>IF(A859&lt;&gt;"", NF!D857, "")</f>
        <v/>
      </c>
      <c r="E859">
        <f>IF(A859&lt;&gt;"", XLOOKUP(A859, Extrato!$D:$D, Extrato!$A:$A, ""), "")</f>
        <v/>
      </c>
      <c r="F859">
        <f>IF(A859&lt;&gt;"", XLOOKUP(A859, Extrato!$D:$D, Extrato!$B:$B, ""), "")</f>
        <v/>
      </c>
      <c r="G859">
        <f>IF(A859&lt;&gt;"", XLOOKUP(A859, Extrato!$D:$D, Extrato!$C:$C, ""), "")</f>
        <v/>
      </c>
      <c r="H859">
        <f>IF(A859="", "", IF(E859="", "Pendente", IF(C859=G859, "OK", "Valor divergente")))</f>
        <v/>
      </c>
    </row>
    <row r="860">
      <c r="A860">
        <f>IF(NF!A858&lt;&gt;"", NF!A858, "")</f>
        <v/>
      </c>
      <c r="B860">
        <f>IF(A860&lt;&gt;"", NF!B858, "")</f>
        <v/>
      </c>
      <c r="C860">
        <f>IF(A860&lt;&gt;"", NF!C858, "")</f>
        <v/>
      </c>
      <c r="D860">
        <f>IF(A860&lt;&gt;"", NF!D858, "")</f>
        <v/>
      </c>
      <c r="E860">
        <f>IF(A860&lt;&gt;"", XLOOKUP(A860, Extrato!$D:$D, Extrato!$A:$A, ""), "")</f>
        <v/>
      </c>
      <c r="F860">
        <f>IF(A860&lt;&gt;"", XLOOKUP(A860, Extrato!$D:$D, Extrato!$B:$B, ""), "")</f>
        <v/>
      </c>
      <c r="G860">
        <f>IF(A860&lt;&gt;"", XLOOKUP(A860, Extrato!$D:$D, Extrato!$C:$C, ""), "")</f>
        <v/>
      </c>
      <c r="H860">
        <f>IF(A860="", "", IF(E860="", "Pendente", IF(C860=G860, "OK", "Valor divergente")))</f>
        <v/>
      </c>
    </row>
    <row r="861">
      <c r="A861">
        <f>IF(NF!A859&lt;&gt;"", NF!A859, "")</f>
        <v/>
      </c>
      <c r="B861">
        <f>IF(A861&lt;&gt;"", NF!B859, "")</f>
        <v/>
      </c>
      <c r="C861">
        <f>IF(A861&lt;&gt;"", NF!C859, "")</f>
        <v/>
      </c>
      <c r="D861">
        <f>IF(A861&lt;&gt;"", NF!D859, "")</f>
        <v/>
      </c>
      <c r="E861">
        <f>IF(A861&lt;&gt;"", XLOOKUP(A861, Extrato!$D:$D, Extrato!$A:$A, ""), "")</f>
        <v/>
      </c>
      <c r="F861">
        <f>IF(A861&lt;&gt;"", XLOOKUP(A861, Extrato!$D:$D, Extrato!$B:$B, ""), "")</f>
        <v/>
      </c>
      <c r="G861">
        <f>IF(A861&lt;&gt;"", XLOOKUP(A861, Extrato!$D:$D, Extrato!$C:$C, ""), "")</f>
        <v/>
      </c>
      <c r="H861">
        <f>IF(A861="", "", IF(E861="", "Pendente", IF(C861=G861, "OK", "Valor divergente")))</f>
        <v/>
      </c>
    </row>
    <row r="862">
      <c r="A862">
        <f>IF(NF!A860&lt;&gt;"", NF!A860, "")</f>
        <v/>
      </c>
      <c r="B862">
        <f>IF(A862&lt;&gt;"", NF!B860, "")</f>
        <v/>
      </c>
      <c r="C862">
        <f>IF(A862&lt;&gt;"", NF!C860, "")</f>
        <v/>
      </c>
      <c r="D862">
        <f>IF(A862&lt;&gt;"", NF!D860, "")</f>
        <v/>
      </c>
      <c r="E862">
        <f>IF(A862&lt;&gt;"", XLOOKUP(A862, Extrato!$D:$D, Extrato!$A:$A, ""), "")</f>
        <v/>
      </c>
      <c r="F862">
        <f>IF(A862&lt;&gt;"", XLOOKUP(A862, Extrato!$D:$D, Extrato!$B:$B, ""), "")</f>
        <v/>
      </c>
      <c r="G862">
        <f>IF(A862&lt;&gt;"", XLOOKUP(A862, Extrato!$D:$D, Extrato!$C:$C, ""), "")</f>
        <v/>
      </c>
      <c r="H862">
        <f>IF(A862="", "", IF(E862="", "Pendente", IF(C862=G862, "OK", "Valor divergente")))</f>
        <v/>
      </c>
    </row>
    <row r="863">
      <c r="A863">
        <f>IF(NF!A861&lt;&gt;"", NF!A861, "")</f>
        <v/>
      </c>
      <c r="B863">
        <f>IF(A863&lt;&gt;"", NF!B861, "")</f>
        <v/>
      </c>
      <c r="C863">
        <f>IF(A863&lt;&gt;"", NF!C861, "")</f>
        <v/>
      </c>
      <c r="D863">
        <f>IF(A863&lt;&gt;"", NF!D861, "")</f>
        <v/>
      </c>
      <c r="E863">
        <f>IF(A863&lt;&gt;"", XLOOKUP(A863, Extrato!$D:$D, Extrato!$A:$A, ""), "")</f>
        <v/>
      </c>
      <c r="F863">
        <f>IF(A863&lt;&gt;"", XLOOKUP(A863, Extrato!$D:$D, Extrato!$B:$B, ""), "")</f>
        <v/>
      </c>
      <c r="G863">
        <f>IF(A863&lt;&gt;"", XLOOKUP(A863, Extrato!$D:$D, Extrato!$C:$C, ""), "")</f>
        <v/>
      </c>
      <c r="H863">
        <f>IF(A863="", "", IF(E863="", "Pendente", IF(C863=G863, "OK", "Valor divergente")))</f>
        <v/>
      </c>
    </row>
    <row r="864">
      <c r="A864">
        <f>IF(NF!A862&lt;&gt;"", NF!A862, "")</f>
        <v/>
      </c>
      <c r="B864">
        <f>IF(A864&lt;&gt;"", NF!B862, "")</f>
        <v/>
      </c>
      <c r="C864">
        <f>IF(A864&lt;&gt;"", NF!C862, "")</f>
        <v/>
      </c>
      <c r="D864">
        <f>IF(A864&lt;&gt;"", NF!D862, "")</f>
        <v/>
      </c>
      <c r="E864">
        <f>IF(A864&lt;&gt;"", XLOOKUP(A864, Extrato!$D:$D, Extrato!$A:$A, ""), "")</f>
        <v/>
      </c>
      <c r="F864">
        <f>IF(A864&lt;&gt;"", XLOOKUP(A864, Extrato!$D:$D, Extrato!$B:$B, ""), "")</f>
        <v/>
      </c>
      <c r="G864">
        <f>IF(A864&lt;&gt;"", XLOOKUP(A864, Extrato!$D:$D, Extrato!$C:$C, ""), "")</f>
        <v/>
      </c>
      <c r="H864">
        <f>IF(A864="", "", IF(E864="", "Pendente", IF(C864=G864, "OK", "Valor divergente")))</f>
        <v/>
      </c>
    </row>
    <row r="865">
      <c r="A865">
        <f>IF(NF!A863&lt;&gt;"", NF!A863, "")</f>
        <v/>
      </c>
      <c r="B865">
        <f>IF(A865&lt;&gt;"", NF!B863, "")</f>
        <v/>
      </c>
      <c r="C865">
        <f>IF(A865&lt;&gt;"", NF!C863, "")</f>
        <v/>
      </c>
      <c r="D865">
        <f>IF(A865&lt;&gt;"", NF!D863, "")</f>
        <v/>
      </c>
      <c r="E865">
        <f>IF(A865&lt;&gt;"", XLOOKUP(A865, Extrato!$D:$D, Extrato!$A:$A, ""), "")</f>
        <v/>
      </c>
      <c r="F865">
        <f>IF(A865&lt;&gt;"", XLOOKUP(A865, Extrato!$D:$D, Extrato!$B:$B, ""), "")</f>
        <v/>
      </c>
      <c r="G865">
        <f>IF(A865&lt;&gt;"", XLOOKUP(A865, Extrato!$D:$D, Extrato!$C:$C, ""), "")</f>
        <v/>
      </c>
      <c r="H865">
        <f>IF(A865="", "", IF(E865="", "Pendente", IF(C865=G865, "OK", "Valor divergente")))</f>
        <v/>
      </c>
    </row>
    <row r="866">
      <c r="A866">
        <f>IF(NF!A864&lt;&gt;"", NF!A864, "")</f>
        <v/>
      </c>
      <c r="B866">
        <f>IF(A866&lt;&gt;"", NF!B864, "")</f>
        <v/>
      </c>
      <c r="C866">
        <f>IF(A866&lt;&gt;"", NF!C864, "")</f>
        <v/>
      </c>
      <c r="D866">
        <f>IF(A866&lt;&gt;"", NF!D864, "")</f>
        <v/>
      </c>
      <c r="E866">
        <f>IF(A866&lt;&gt;"", XLOOKUP(A866, Extrato!$D:$D, Extrato!$A:$A, ""), "")</f>
        <v/>
      </c>
      <c r="F866">
        <f>IF(A866&lt;&gt;"", XLOOKUP(A866, Extrato!$D:$D, Extrato!$B:$B, ""), "")</f>
        <v/>
      </c>
      <c r="G866">
        <f>IF(A866&lt;&gt;"", XLOOKUP(A866, Extrato!$D:$D, Extrato!$C:$C, ""), "")</f>
        <v/>
      </c>
      <c r="H866">
        <f>IF(A866="", "", IF(E866="", "Pendente", IF(C866=G866, "OK", "Valor divergente")))</f>
        <v/>
      </c>
    </row>
    <row r="867">
      <c r="A867">
        <f>IF(NF!A865&lt;&gt;"", NF!A865, "")</f>
        <v/>
      </c>
      <c r="B867">
        <f>IF(A867&lt;&gt;"", NF!B865, "")</f>
        <v/>
      </c>
      <c r="C867">
        <f>IF(A867&lt;&gt;"", NF!C865, "")</f>
        <v/>
      </c>
      <c r="D867">
        <f>IF(A867&lt;&gt;"", NF!D865, "")</f>
        <v/>
      </c>
      <c r="E867">
        <f>IF(A867&lt;&gt;"", XLOOKUP(A867, Extrato!$D:$D, Extrato!$A:$A, ""), "")</f>
        <v/>
      </c>
      <c r="F867">
        <f>IF(A867&lt;&gt;"", XLOOKUP(A867, Extrato!$D:$D, Extrato!$B:$B, ""), "")</f>
        <v/>
      </c>
      <c r="G867">
        <f>IF(A867&lt;&gt;"", XLOOKUP(A867, Extrato!$D:$D, Extrato!$C:$C, ""), "")</f>
        <v/>
      </c>
      <c r="H867">
        <f>IF(A867="", "", IF(E867="", "Pendente", IF(C867=G867, "OK", "Valor divergente")))</f>
        <v/>
      </c>
    </row>
    <row r="868">
      <c r="A868">
        <f>IF(NF!A866&lt;&gt;"", NF!A866, "")</f>
        <v/>
      </c>
      <c r="B868">
        <f>IF(A868&lt;&gt;"", NF!B866, "")</f>
        <v/>
      </c>
      <c r="C868">
        <f>IF(A868&lt;&gt;"", NF!C866, "")</f>
        <v/>
      </c>
      <c r="D868">
        <f>IF(A868&lt;&gt;"", NF!D866, "")</f>
        <v/>
      </c>
      <c r="E868">
        <f>IF(A868&lt;&gt;"", XLOOKUP(A868, Extrato!$D:$D, Extrato!$A:$A, ""), "")</f>
        <v/>
      </c>
      <c r="F868">
        <f>IF(A868&lt;&gt;"", XLOOKUP(A868, Extrato!$D:$D, Extrato!$B:$B, ""), "")</f>
        <v/>
      </c>
      <c r="G868">
        <f>IF(A868&lt;&gt;"", XLOOKUP(A868, Extrato!$D:$D, Extrato!$C:$C, ""), "")</f>
        <v/>
      </c>
      <c r="H868">
        <f>IF(A868="", "", IF(E868="", "Pendente", IF(C868=G868, "OK", "Valor divergente")))</f>
        <v/>
      </c>
    </row>
    <row r="869">
      <c r="A869">
        <f>IF(NF!A867&lt;&gt;"", NF!A867, "")</f>
        <v/>
      </c>
      <c r="B869">
        <f>IF(A869&lt;&gt;"", NF!B867, "")</f>
        <v/>
      </c>
      <c r="C869">
        <f>IF(A869&lt;&gt;"", NF!C867, "")</f>
        <v/>
      </c>
      <c r="D869">
        <f>IF(A869&lt;&gt;"", NF!D867, "")</f>
        <v/>
      </c>
      <c r="E869">
        <f>IF(A869&lt;&gt;"", XLOOKUP(A869, Extrato!$D:$D, Extrato!$A:$A, ""), "")</f>
        <v/>
      </c>
      <c r="F869">
        <f>IF(A869&lt;&gt;"", XLOOKUP(A869, Extrato!$D:$D, Extrato!$B:$B, ""), "")</f>
        <v/>
      </c>
      <c r="G869">
        <f>IF(A869&lt;&gt;"", XLOOKUP(A869, Extrato!$D:$D, Extrato!$C:$C, ""), "")</f>
        <v/>
      </c>
      <c r="H869">
        <f>IF(A869="", "", IF(E869="", "Pendente", IF(C869=G869, "OK", "Valor divergente")))</f>
        <v/>
      </c>
    </row>
    <row r="870">
      <c r="A870">
        <f>IF(NF!A868&lt;&gt;"", NF!A868, "")</f>
        <v/>
      </c>
      <c r="B870">
        <f>IF(A870&lt;&gt;"", NF!B868, "")</f>
        <v/>
      </c>
      <c r="C870">
        <f>IF(A870&lt;&gt;"", NF!C868, "")</f>
        <v/>
      </c>
      <c r="D870">
        <f>IF(A870&lt;&gt;"", NF!D868, "")</f>
        <v/>
      </c>
      <c r="E870">
        <f>IF(A870&lt;&gt;"", XLOOKUP(A870, Extrato!$D:$D, Extrato!$A:$A, ""), "")</f>
        <v/>
      </c>
      <c r="F870">
        <f>IF(A870&lt;&gt;"", XLOOKUP(A870, Extrato!$D:$D, Extrato!$B:$B, ""), "")</f>
        <v/>
      </c>
      <c r="G870">
        <f>IF(A870&lt;&gt;"", XLOOKUP(A870, Extrato!$D:$D, Extrato!$C:$C, ""), "")</f>
        <v/>
      </c>
      <c r="H870">
        <f>IF(A870="", "", IF(E870="", "Pendente", IF(C870=G870, "OK", "Valor divergente")))</f>
        <v/>
      </c>
    </row>
    <row r="871">
      <c r="A871">
        <f>IF(NF!A869&lt;&gt;"", NF!A869, "")</f>
        <v/>
      </c>
      <c r="B871">
        <f>IF(A871&lt;&gt;"", NF!B869, "")</f>
        <v/>
      </c>
      <c r="C871">
        <f>IF(A871&lt;&gt;"", NF!C869, "")</f>
        <v/>
      </c>
      <c r="D871">
        <f>IF(A871&lt;&gt;"", NF!D869, "")</f>
        <v/>
      </c>
      <c r="E871">
        <f>IF(A871&lt;&gt;"", XLOOKUP(A871, Extrato!$D:$D, Extrato!$A:$A, ""), "")</f>
        <v/>
      </c>
      <c r="F871">
        <f>IF(A871&lt;&gt;"", XLOOKUP(A871, Extrato!$D:$D, Extrato!$B:$B, ""), "")</f>
        <v/>
      </c>
      <c r="G871">
        <f>IF(A871&lt;&gt;"", XLOOKUP(A871, Extrato!$D:$D, Extrato!$C:$C, ""), "")</f>
        <v/>
      </c>
      <c r="H871">
        <f>IF(A871="", "", IF(E871="", "Pendente", IF(C871=G871, "OK", "Valor divergente")))</f>
        <v/>
      </c>
    </row>
    <row r="872">
      <c r="A872">
        <f>IF(NF!A870&lt;&gt;"", NF!A870, "")</f>
        <v/>
      </c>
      <c r="B872">
        <f>IF(A872&lt;&gt;"", NF!B870, "")</f>
        <v/>
      </c>
      <c r="C872">
        <f>IF(A872&lt;&gt;"", NF!C870, "")</f>
        <v/>
      </c>
      <c r="D872">
        <f>IF(A872&lt;&gt;"", NF!D870, "")</f>
        <v/>
      </c>
      <c r="E872">
        <f>IF(A872&lt;&gt;"", XLOOKUP(A872, Extrato!$D:$D, Extrato!$A:$A, ""), "")</f>
        <v/>
      </c>
      <c r="F872">
        <f>IF(A872&lt;&gt;"", XLOOKUP(A872, Extrato!$D:$D, Extrato!$B:$B, ""), "")</f>
        <v/>
      </c>
      <c r="G872">
        <f>IF(A872&lt;&gt;"", XLOOKUP(A872, Extrato!$D:$D, Extrato!$C:$C, ""), "")</f>
        <v/>
      </c>
      <c r="H872">
        <f>IF(A872="", "", IF(E872="", "Pendente", IF(C872=G872, "OK", "Valor divergente")))</f>
        <v/>
      </c>
    </row>
    <row r="873">
      <c r="A873">
        <f>IF(NF!A871&lt;&gt;"", NF!A871, "")</f>
        <v/>
      </c>
      <c r="B873">
        <f>IF(A873&lt;&gt;"", NF!B871, "")</f>
        <v/>
      </c>
      <c r="C873">
        <f>IF(A873&lt;&gt;"", NF!C871, "")</f>
        <v/>
      </c>
      <c r="D873">
        <f>IF(A873&lt;&gt;"", NF!D871, "")</f>
        <v/>
      </c>
      <c r="E873">
        <f>IF(A873&lt;&gt;"", XLOOKUP(A873, Extrato!$D:$D, Extrato!$A:$A, ""), "")</f>
        <v/>
      </c>
      <c r="F873">
        <f>IF(A873&lt;&gt;"", XLOOKUP(A873, Extrato!$D:$D, Extrato!$B:$B, ""), "")</f>
        <v/>
      </c>
      <c r="G873">
        <f>IF(A873&lt;&gt;"", XLOOKUP(A873, Extrato!$D:$D, Extrato!$C:$C, ""), "")</f>
        <v/>
      </c>
      <c r="H873">
        <f>IF(A873="", "", IF(E873="", "Pendente", IF(C873=G873, "OK", "Valor divergente")))</f>
        <v/>
      </c>
    </row>
    <row r="874">
      <c r="A874">
        <f>IF(NF!A872&lt;&gt;"", NF!A872, "")</f>
        <v/>
      </c>
      <c r="B874">
        <f>IF(A874&lt;&gt;"", NF!B872, "")</f>
        <v/>
      </c>
      <c r="C874">
        <f>IF(A874&lt;&gt;"", NF!C872, "")</f>
        <v/>
      </c>
      <c r="D874">
        <f>IF(A874&lt;&gt;"", NF!D872, "")</f>
        <v/>
      </c>
      <c r="E874">
        <f>IF(A874&lt;&gt;"", XLOOKUP(A874, Extrato!$D:$D, Extrato!$A:$A, ""), "")</f>
        <v/>
      </c>
      <c r="F874">
        <f>IF(A874&lt;&gt;"", XLOOKUP(A874, Extrato!$D:$D, Extrato!$B:$B, ""), "")</f>
        <v/>
      </c>
      <c r="G874">
        <f>IF(A874&lt;&gt;"", XLOOKUP(A874, Extrato!$D:$D, Extrato!$C:$C, ""), "")</f>
        <v/>
      </c>
      <c r="H874">
        <f>IF(A874="", "", IF(E874="", "Pendente", IF(C874=G874, "OK", "Valor divergente")))</f>
        <v/>
      </c>
    </row>
    <row r="875">
      <c r="A875">
        <f>IF(NF!A873&lt;&gt;"", NF!A873, "")</f>
        <v/>
      </c>
      <c r="B875">
        <f>IF(A875&lt;&gt;"", NF!B873, "")</f>
        <v/>
      </c>
      <c r="C875">
        <f>IF(A875&lt;&gt;"", NF!C873, "")</f>
        <v/>
      </c>
      <c r="D875">
        <f>IF(A875&lt;&gt;"", NF!D873, "")</f>
        <v/>
      </c>
      <c r="E875">
        <f>IF(A875&lt;&gt;"", XLOOKUP(A875, Extrato!$D:$D, Extrato!$A:$A, ""), "")</f>
        <v/>
      </c>
      <c r="F875">
        <f>IF(A875&lt;&gt;"", XLOOKUP(A875, Extrato!$D:$D, Extrato!$B:$B, ""), "")</f>
        <v/>
      </c>
      <c r="G875">
        <f>IF(A875&lt;&gt;"", XLOOKUP(A875, Extrato!$D:$D, Extrato!$C:$C, ""), "")</f>
        <v/>
      </c>
      <c r="H875">
        <f>IF(A875="", "", IF(E875="", "Pendente", IF(C875=G875, "OK", "Valor divergente")))</f>
        <v/>
      </c>
    </row>
    <row r="876">
      <c r="A876">
        <f>IF(NF!A874&lt;&gt;"", NF!A874, "")</f>
        <v/>
      </c>
      <c r="B876">
        <f>IF(A876&lt;&gt;"", NF!B874, "")</f>
        <v/>
      </c>
      <c r="C876">
        <f>IF(A876&lt;&gt;"", NF!C874, "")</f>
        <v/>
      </c>
      <c r="D876">
        <f>IF(A876&lt;&gt;"", NF!D874, "")</f>
        <v/>
      </c>
      <c r="E876">
        <f>IF(A876&lt;&gt;"", XLOOKUP(A876, Extrato!$D:$D, Extrato!$A:$A, ""), "")</f>
        <v/>
      </c>
      <c r="F876">
        <f>IF(A876&lt;&gt;"", XLOOKUP(A876, Extrato!$D:$D, Extrato!$B:$B, ""), "")</f>
        <v/>
      </c>
      <c r="G876">
        <f>IF(A876&lt;&gt;"", XLOOKUP(A876, Extrato!$D:$D, Extrato!$C:$C, ""), "")</f>
        <v/>
      </c>
      <c r="H876">
        <f>IF(A876="", "", IF(E876="", "Pendente", IF(C876=G876, "OK", "Valor divergente")))</f>
        <v/>
      </c>
    </row>
    <row r="877">
      <c r="A877">
        <f>IF(NF!A875&lt;&gt;"", NF!A875, "")</f>
        <v/>
      </c>
      <c r="B877">
        <f>IF(A877&lt;&gt;"", NF!B875, "")</f>
        <v/>
      </c>
      <c r="C877">
        <f>IF(A877&lt;&gt;"", NF!C875, "")</f>
        <v/>
      </c>
      <c r="D877">
        <f>IF(A877&lt;&gt;"", NF!D875, "")</f>
        <v/>
      </c>
      <c r="E877">
        <f>IF(A877&lt;&gt;"", XLOOKUP(A877, Extrato!$D:$D, Extrato!$A:$A, ""), "")</f>
        <v/>
      </c>
      <c r="F877">
        <f>IF(A877&lt;&gt;"", XLOOKUP(A877, Extrato!$D:$D, Extrato!$B:$B, ""), "")</f>
        <v/>
      </c>
      <c r="G877">
        <f>IF(A877&lt;&gt;"", XLOOKUP(A877, Extrato!$D:$D, Extrato!$C:$C, ""), "")</f>
        <v/>
      </c>
      <c r="H877">
        <f>IF(A877="", "", IF(E877="", "Pendente", IF(C877=G877, "OK", "Valor divergente")))</f>
        <v/>
      </c>
    </row>
    <row r="878">
      <c r="A878">
        <f>IF(NF!A876&lt;&gt;"", NF!A876, "")</f>
        <v/>
      </c>
      <c r="B878">
        <f>IF(A878&lt;&gt;"", NF!B876, "")</f>
        <v/>
      </c>
      <c r="C878">
        <f>IF(A878&lt;&gt;"", NF!C876, "")</f>
        <v/>
      </c>
      <c r="D878">
        <f>IF(A878&lt;&gt;"", NF!D876, "")</f>
        <v/>
      </c>
      <c r="E878">
        <f>IF(A878&lt;&gt;"", XLOOKUP(A878, Extrato!$D:$D, Extrato!$A:$A, ""), "")</f>
        <v/>
      </c>
      <c r="F878">
        <f>IF(A878&lt;&gt;"", XLOOKUP(A878, Extrato!$D:$D, Extrato!$B:$B, ""), "")</f>
        <v/>
      </c>
      <c r="G878">
        <f>IF(A878&lt;&gt;"", XLOOKUP(A878, Extrato!$D:$D, Extrato!$C:$C, ""), "")</f>
        <v/>
      </c>
      <c r="H878">
        <f>IF(A878="", "", IF(E878="", "Pendente", IF(C878=G878, "OK", "Valor divergente")))</f>
        <v/>
      </c>
    </row>
    <row r="879">
      <c r="A879">
        <f>IF(NF!A877&lt;&gt;"", NF!A877, "")</f>
        <v/>
      </c>
      <c r="B879">
        <f>IF(A879&lt;&gt;"", NF!B877, "")</f>
        <v/>
      </c>
      <c r="C879">
        <f>IF(A879&lt;&gt;"", NF!C877, "")</f>
        <v/>
      </c>
      <c r="D879">
        <f>IF(A879&lt;&gt;"", NF!D877, "")</f>
        <v/>
      </c>
      <c r="E879">
        <f>IF(A879&lt;&gt;"", XLOOKUP(A879, Extrato!$D:$D, Extrato!$A:$A, ""), "")</f>
        <v/>
      </c>
      <c r="F879">
        <f>IF(A879&lt;&gt;"", XLOOKUP(A879, Extrato!$D:$D, Extrato!$B:$B, ""), "")</f>
        <v/>
      </c>
      <c r="G879">
        <f>IF(A879&lt;&gt;"", XLOOKUP(A879, Extrato!$D:$D, Extrato!$C:$C, ""), "")</f>
        <v/>
      </c>
      <c r="H879">
        <f>IF(A879="", "", IF(E879="", "Pendente", IF(C879=G879, "OK", "Valor divergente")))</f>
        <v/>
      </c>
    </row>
    <row r="880">
      <c r="A880">
        <f>IF(NF!A878&lt;&gt;"", NF!A878, "")</f>
        <v/>
      </c>
      <c r="B880">
        <f>IF(A880&lt;&gt;"", NF!B878, "")</f>
        <v/>
      </c>
      <c r="C880">
        <f>IF(A880&lt;&gt;"", NF!C878, "")</f>
        <v/>
      </c>
      <c r="D880">
        <f>IF(A880&lt;&gt;"", NF!D878, "")</f>
        <v/>
      </c>
      <c r="E880">
        <f>IF(A880&lt;&gt;"", XLOOKUP(A880, Extrato!$D:$D, Extrato!$A:$A, ""), "")</f>
        <v/>
      </c>
      <c r="F880">
        <f>IF(A880&lt;&gt;"", XLOOKUP(A880, Extrato!$D:$D, Extrato!$B:$B, ""), "")</f>
        <v/>
      </c>
      <c r="G880">
        <f>IF(A880&lt;&gt;"", XLOOKUP(A880, Extrato!$D:$D, Extrato!$C:$C, ""), "")</f>
        <v/>
      </c>
      <c r="H880">
        <f>IF(A880="", "", IF(E880="", "Pendente", IF(C880=G880, "OK", "Valor divergente")))</f>
        <v/>
      </c>
    </row>
    <row r="881">
      <c r="A881">
        <f>IF(NF!A879&lt;&gt;"", NF!A879, "")</f>
        <v/>
      </c>
      <c r="B881">
        <f>IF(A881&lt;&gt;"", NF!B879, "")</f>
        <v/>
      </c>
      <c r="C881">
        <f>IF(A881&lt;&gt;"", NF!C879, "")</f>
        <v/>
      </c>
      <c r="D881">
        <f>IF(A881&lt;&gt;"", NF!D879, "")</f>
        <v/>
      </c>
      <c r="E881">
        <f>IF(A881&lt;&gt;"", XLOOKUP(A881, Extrato!$D:$D, Extrato!$A:$A, ""), "")</f>
        <v/>
      </c>
      <c r="F881">
        <f>IF(A881&lt;&gt;"", XLOOKUP(A881, Extrato!$D:$D, Extrato!$B:$B, ""), "")</f>
        <v/>
      </c>
      <c r="G881">
        <f>IF(A881&lt;&gt;"", XLOOKUP(A881, Extrato!$D:$D, Extrato!$C:$C, ""), "")</f>
        <v/>
      </c>
      <c r="H881">
        <f>IF(A881="", "", IF(E881="", "Pendente", IF(C881=G881, "OK", "Valor divergente")))</f>
        <v/>
      </c>
    </row>
    <row r="882">
      <c r="A882">
        <f>IF(NF!A880&lt;&gt;"", NF!A880, "")</f>
        <v/>
      </c>
      <c r="B882">
        <f>IF(A882&lt;&gt;"", NF!B880, "")</f>
        <v/>
      </c>
      <c r="C882">
        <f>IF(A882&lt;&gt;"", NF!C880, "")</f>
        <v/>
      </c>
      <c r="D882">
        <f>IF(A882&lt;&gt;"", NF!D880, "")</f>
        <v/>
      </c>
      <c r="E882">
        <f>IF(A882&lt;&gt;"", XLOOKUP(A882, Extrato!$D:$D, Extrato!$A:$A, ""), "")</f>
        <v/>
      </c>
      <c r="F882">
        <f>IF(A882&lt;&gt;"", XLOOKUP(A882, Extrato!$D:$D, Extrato!$B:$B, ""), "")</f>
        <v/>
      </c>
      <c r="G882">
        <f>IF(A882&lt;&gt;"", XLOOKUP(A882, Extrato!$D:$D, Extrato!$C:$C, ""), "")</f>
        <v/>
      </c>
      <c r="H882">
        <f>IF(A882="", "", IF(E882="", "Pendente", IF(C882=G882, "OK", "Valor divergente")))</f>
        <v/>
      </c>
    </row>
    <row r="883">
      <c r="A883">
        <f>IF(NF!A881&lt;&gt;"", NF!A881, "")</f>
        <v/>
      </c>
      <c r="B883">
        <f>IF(A883&lt;&gt;"", NF!B881, "")</f>
        <v/>
      </c>
      <c r="C883">
        <f>IF(A883&lt;&gt;"", NF!C881, "")</f>
        <v/>
      </c>
      <c r="D883">
        <f>IF(A883&lt;&gt;"", NF!D881, "")</f>
        <v/>
      </c>
      <c r="E883">
        <f>IF(A883&lt;&gt;"", XLOOKUP(A883, Extrato!$D:$D, Extrato!$A:$A, ""), "")</f>
        <v/>
      </c>
      <c r="F883">
        <f>IF(A883&lt;&gt;"", XLOOKUP(A883, Extrato!$D:$D, Extrato!$B:$B, ""), "")</f>
        <v/>
      </c>
      <c r="G883">
        <f>IF(A883&lt;&gt;"", XLOOKUP(A883, Extrato!$D:$D, Extrato!$C:$C, ""), "")</f>
        <v/>
      </c>
      <c r="H883">
        <f>IF(A883="", "", IF(E883="", "Pendente", IF(C883=G883, "OK", "Valor divergente")))</f>
        <v/>
      </c>
    </row>
    <row r="884">
      <c r="A884">
        <f>IF(NF!A882&lt;&gt;"", NF!A882, "")</f>
        <v/>
      </c>
      <c r="B884">
        <f>IF(A884&lt;&gt;"", NF!B882, "")</f>
        <v/>
      </c>
      <c r="C884">
        <f>IF(A884&lt;&gt;"", NF!C882, "")</f>
        <v/>
      </c>
      <c r="D884">
        <f>IF(A884&lt;&gt;"", NF!D882, "")</f>
        <v/>
      </c>
      <c r="E884">
        <f>IF(A884&lt;&gt;"", XLOOKUP(A884, Extrato!$D:$D, Extrato!$A:$A, ""), "")</f>
        <v/>
      </c>
      <c r="F884">
        <f>IF(A884&lt;&gt;"", XLOOKUP(A884, Extrato!$D:$D, Extrato!$B:$B, ""), "")</f>
        <v/>
      </c>
      <c r="G884">
        <f>IF(A884&lt;&gt;"", XLOOKUP(A884, Extrato!$D:$D, Extrato!$C:$C, ""), "")</f>
        <v/>
      </c>
      <c r="H884">
        <f>IF(A884="", "", IF(E884="", "Pendente", IF(C884=G884, "OK", "Valor divergente")))</f>
        <v/>
      </c>
    </row>
    <row r="885">
      <c r="A885">
        <f>IF(NF!A883&lt;&gt;"", NF!A883, "")</f>
        <v/>
      </c>
      <c r="B885">
        <f>IF(A885&lt;&gt;"", NF!B883, "")</f>
        <v/>
      </c>
      <c r="C885">
        <f>IF(A885&lt;&gt;"", NF!C883, "")</f>
        <v/>
      </c>
      <c r="D885">
        <f>IF(A885&lt;&gt;"", NF!D883, "")</f>
        <v/>
      </c>
      <c r="E885">
        <f>IF(A885&lt;&gt;"", XLOOKUP(A885, Extrato!$D:$D, Extrato!$A:$A, ""), "")</f>
        <v/>
      </c>
      <c r="F885">
        <f>IF(A885&lt;&gt;"", XLOOKUP(A885, Extrato!$D:$D, Extrato!$B:$B, ""), "")</f>
        <v/>
      </c>
      <c r="G885">
        <f>IF(A885&lt;&gt;"", XLOOKUP(A885, Extrato!$D:$D, Extrato!$C:$C, ""), "")</f>
        <v/>
      </c>
      <c r="H885">
        <f>IF(A885="", "", IF(E885="", "Pendente", IF(C885=G885, "OK", "Valor divergente")))</f>
        <v/>
      </c>
    </row>
    <row r="886">
      <c r="A886">
        <f>IF(NF!A884&lt;&gt;"", NF!A884, "")</f>
        <v/>
      </c>
      <c r="B886">
        <f>IF(A886&lt;&gt;"", NF!B884, "")</f>
        <v/>
      </c>
      <c r="C886">
        <f>IF(A886&lt;&gt;"", NF!C884, "")</f>
        <v/>
      </c>
      <c r="D886">
        <f>IF(A886&lt;&gt;"", NF!D884, "")</f>
        <v/>
      </c>
      <c r="E886">
        <f>IF(A886&lt;&gt;"", XLOOKUP(A886, Extrato!$D:$D, Extrato!$A:$A, ""), "")</f>
        <v/>
      </c>
      <c r="F886">
        <f>IF(A886&lt;&gt;"", XLOOKUP(A886, Extrato!$D:$D, Extrato!$B:$B, ""), "")</f>
        <v/>
      </c>
      <c r="G886">
        <f>IF(A886&lt;&gt;"", XLOOKUP(A886, Extrato!$D:$D, Extrato!$C:$C, ""), "")</f>
        <v/>
      </c>
      <c r="H886">
        <f>IF(A886="", "", IF(E886="", "Pendente", IF(C886=G886, "OK", "Valor divergente")))</f>
        <v/>
      </c>
    </row>
    <row r="887">
      <c r="A887">
        <f>IF(NF!A885&lt;&gt;"", NF!A885, "")</f>
        <v/>
      </c>
      <c r="B887">
        <f>IF(A887&lt;&gt;"", NF!B885, "")</f>
        <v/>
      </c>
      <c r="C887">
        <f>IF(A887&lt;&gt;"", NF!C885, "")</f>
        <v/>
      </c>
      <c r="D887">
        <f>IF(A887&lt;&gt;"", NF!D885, "")</f>
        <v/>
      </c>
      <c r="E887">
        <f>IF(A887&lt;&gt;"", XLOOKUP(A887, Extrato!$D:$D, Extrato!$A:$A, ""), "")</f>
        <v/>
      </c>
      <c r="F887">
        <f>IF(A887&lt;&gt;"", XLOOKUP(A887, Extrato!$D:$D, Extrato!$B:$B, ""), "")</f>
        <v/>
      </c>
      <c r="G887">
        <f>IF(A887&lt;&gt;"", XLOOKUP(A887, Extrato!$D:$D, Extrato!$C:$C, ""), "")</f>
        <v/>
      </c>
      <c r="H887">
        <f>IF(A887="", "", IF(E887="", "Pendente", IF(C887=G887, "OK", "Valor divergente")))</f>
        <v/>
      </c>
    </row>
    <row r="888">
      <c r="A888">
        <f>IF(NF!A886&lt;&gt;"", NF!A886, "")</f>
        <v/>
      </c>
      <c r="B888">
        <f>IF(A888&lt;&gt;"", NF!B886, "")</f>
        <v/>
      </c>
      <c r="C888">
        <f>IF(A888&lt;&gt;"", NF!C886, "")</f>
        <v/>
      </c>
      <c r="D888">
        <f>IF(A888&lt;&gt;"", NF!D886, "")</f>
        <v/>
      </c>
      <c r="E888">
        <f>IF(A888&lt;&gt;"", XLOOKUP(A888, Extrato!$D:$D, Extrato!$A:$A, ""), "")</f>
        <v/>
      </c>
      <c r="F888">
        <f>IF(A888&lt;&gt;"", XLOOKUP(A888, Extrato!$D:$D, Extrato!$B:$B, ""), "")</f>
        <v/>
      </c>
      <c r="G888">
        <f>IF(A888&lt;&gt;"", XLOOKUP(A888, Extrato!$D:$D, Extrato!$C:$C, ""), "")</f>
        <v/>
      </c>
      <c r="H888">
        <f>IF(A888="", "", IF(E888="", "Pendente", IF(C888=G888, "OK", "Valor divergente")))</f>
        <v/>
      </c>
    </row>
    <row r="889">
      <c r="A889">
        <f>IF(NF!A887&lt;&gt;"", NF!A887, "")</f>
        <v/>
      </c>
      <c r="B889">
        <f>IF(A889&lt;&gt;"", NF!B887, "")</f>
        <v/>
      </c>
      <c r="C889">
        <f>IF(A889&lt;&gt;"", NF!C887, "")</f>
        <v/>
      </c>
      <c r="D889">
        <f>IF(A889&lt;&gt;"", NF!D887, "")</f>
        <v/>
      </c>
      <c r="E889">
        <f>IF(A889&lt;&gt;"", XLOOKUP(A889, Extrato!$D:$D, Extrato!$A:$A, ""), "")</f>
        <v/>
      </c>
      <c r="F889">
        <f>IF(A889&lt;&gt;"", XLOOKUP(A889, Extrato!$D:$D, Extrato!$B:$B, ""), "")</f>
        <v/>
      </c>
      <c r="G889">
        <f>IF(A889&lt;&gt;"", XLOOKUP(A889, Extrato!$D:$D, Extrato!$C:$C, ""), "")</f>
        <v/>
      </c>
      <c r="H889">
        <f>IF(A889="", "", IF(E889="", "Pendente", IF(C889=G889, "OK", "Valor divergente")))</f>
        <v/>
      </c>
    </row>
    <row r="890">
      <c r="A890">
        <f>IF(NF!A888&lt;&gt;"", NF!A888, "")</f>
        <v/>
      </c>
      <c r="B890">
        <f>IF(A890&lt;&gt;"", NF!B888, "")</f>
        <v/>
      </c>
      <c r="C890">
        <f>IF(A890&lt;&gt;"", NF!C888, "")</f>
        <v/>
      </c>
      <c r="D890">
        <f>IF(A890&lt;&gt;"", NF!D888, "")</f>
        <v/>
      </c>
      <c r="E890">
        <f>IF(A890&lt;&gt;"", XLOOKUP(A890, Extrato!$D:$D, Extrato!$A:$A, ""), "")</f>
        <v/>
      </c>
      <c r="F890">
        <f>IF(A890&lt;&gt;"", XLOOKUP(A890, Extrato!$D:$D, Extrato!$B:$B, ""), "")</f>
        <v/>
      </c>
      <c r="G890">
        <f>IF(A890&lt;&gt;"", XLOOKUP(A890, Extrato!$D:$D, Extrato!$C:$C, ""), "")</f>
        <v/>
      </c>
      <c r="H890">
        <f>IF(A890="", "", IF(E890="", "Pendente", IF(C890=G890, "OK", "Valor divergente")))</f>
        <v/>
      </c>
    </row>
    <row r="891">
      <c r="A891">
        <f>IF(NF!A889&lt;&gt;"", NF!A889, "")</f>
        <v/>
      </c>
      <c r="B891">
        <f>IF(A891&lt;&gt;"", NF!B889, "")</f>
        <v/>
      </c>
      <c r="C891">
        <f>IF(A891&lt;&gt;"", NF!C889, "")</f>
        <v/>
      </c>
      <c r="D891">
        <f>IF(A891&lt;&gt;"", NF!D889, "")</f>
        <v/>
      </c>
      <c r="E891">
        <f>IF(A891&lt;&gt;"", XLOOKUP(A891, Extrato!$D:$D, Extrato!$A:$A, ""), "")</f>
        <v/>
      </c>
      <c r="F891">
        <f>IF(A891&lt;&gt;"", XLOOKUP(A891, Extrato!$D:$D, Extrato!$B:$B, ""), "")</f>
        <v/>
      </c>
      <c r="G891">
        <f>IF(A891&lt;&gt;"", XLOOKUP(A891, Extrato!$D:$D, Extrato!$C:$C, ""), "")</f>
        <v/>
      </c>
      <c r="H891">
        <f>IF(A891="", "", IF(E891="", "Pendente", IF(C891=G891, "OK", "Valor divergente")))</f>
        <v/>
      </c>
    </row>
    <row r="892">
      <c r="A892">
        <f>IF(NF!A890&lt;&gt;"", NF!A890, "")</f>
        <v/>
      </c>
      <c r="B892">
        <f>IF(A892&lt;&gt;"", NF!B890, "")</f>
        <v/>
      </c>
      <c r="C892">
        <f>IF(A892&lt;&gt;"", NF!C890, "")</f>
        <v/>
      </c>
      <c r="D892">
        <f>IF(A892&lt;&gt;"", NF!D890, "")</f>
        <v/>
      </c>
      <c r="E892">
        <f>IF(A892&lt;&gt;"", XLOOKUP(A892, Extrato!$D:$D, Extrato!$A:$A, ""), "")</f>
        <v/>
      </c>
      <c r="F892">
        <f>IF(A892&lt;&gt;"", XLOOKUP(A892, Extrato!$D:$D, Extrato!$B:$B, ""), "")</f>
        <v/>
      </c>
      <c r="G892">
        <f>IF(A892&lt;&gt;"", XLOOKUP(A892, Extrato!$D:$D, Extrato!$C:$C, ""), "")</f>
        <v/>
      </c>
      <c r="H892">
        <f>IF(A892="", "", IF(E892="", "Pendente", IF(C892=G892, "OK", "Valor divergente")))</f>
        <v/>
      </c>
    </row>
    <row r="893">
      <c r="A893">
        <f>IF(NF!A891&lt;&gt;"", NF!A891, "")</f>
        <v/>
      </c>
      <c r="B893">
        <f>IF(A893&lt;&gt;"", NF!B891, "")</f>
        <v/>
      </c>
      <c r="C893">
        <f>IF(A893&lt;&gt;"", NF!C891, "")</f>
        <v/>
      </c>
      <c r="D893">
        <f>IF(A893&lt;&gt;"", NF!D891, "")</f>
        <v/>
      </c>
      <c r="E893">
        <f>IF(A893&lt;&gt;"", XLOOKUP(A893, Extrato!$D:$D, Extrato!$A:$A, ""), "")</f>
        <v/>
      </c>
      <c r="F893">
        <f>IF(A893&lt;&gt;"", XLOOKUP(A893, Extrato!$D:$D, Extrato!$B:$B, ""), "")</f>
        <v/>
      </c>
      <c r="G893">
        <f>IF(A893&lt;&gt;"", XLOOKUP(A893, Extrato!$D:$D, Extrato!$C:$C, ""), "")</f>
        <v/>
      </c>
      <c r="H893">
        <f>IF(A893="", "", IF(E893="", "Pendente", IF(C893=G893, "OK", "Valor divergente")))</f>
        <v/>
      </c>
    </row>
    <row r="894">
      <c r="A894">
        <f>IF(NF!A892&lt;&gt;"", NF!A892, "")</f>
        <v/>
      </c>
      <c r="B894">
        <f>IF(A894&lt;&gt;"", NF!B892, "")</f>
        <v/>
      </c>
      <c r="C894">
        <f>IF(A894&lt;&gt;"", NF!C892, "")</f>
        <v/>
      </c>
      <c r="D894">
        <f>IF(A894&lt;&gt;"", NF!D892, "")</f>
        <v/>
      </c>
      <c r="E894">
        <f>IF(A894&lt;&gt;"", XLOOKUP(A894, Extrato!$D:$D, Extrato!$A:$A, ""), "")</f>
        <v/>
      </c>
      <c r="F894">
        <f>IF(A894&lt;&gt;"", XLOOKUP(A894, Extrato!$D:$D, Extrato!$B:$B, ""), "")</f>
        <v/>
      </c>
      <c r="G894">
        <f>IF(A894&lt;&gt;"", XLOOKUP(A894, Extrato!$D:$D, Extrato!$C:$C, ""), "")</f>
        <v/>
      </c>
      <c r="H894">
        <f>IF(A894="", "", IF(E894="", "Pendente", IF(C894=G894, "OK", "Valor divergente")))</f>
        <v/>
      </c>
    </row>
    <row r="895">
      <c r="A895">
        <f>IF(NF!A893&lt;&gt;"", NF!A893, "")</f>
        <v/>
      </c>
      <c r="B895">
        <f>IF(A895&lt;&gt;"", NF!B893, "")</f>
        <v/>
      </c>
      <c r="C895">
        <f>IF(A895&lt;&gt;"", NF!C893, "")</f>
        <v/>
      </c>
      <c r="D895">
        <f>IF(A895&lt;&gt;"", NF!D893, "")</f>
        <v/>
      </c>
      <c r="E895">
        <f>IF(A895&lt;&gt;"", XLOOKUP(A895, Extrato!$D:$D, Extrato!$A:$A, ""), "")</f>
        <v/>
      </c>
      <c r="F895">
        <f>IF(A895&lt;&gt;"", XLOOKUP(A895, Extrato!$D:$D, Extrato!$B:$B, ""), "")</f>
        <v/>
      </c>
      <c r="G895">
        <f>IF(A895&lt;&gt;"", XLOOKUP(A895, Extrato!$D:$D, Extrato!$C:$C, ""), "")</f>
        <v/>
      </c>
      <c r="H895">
        <f>IF(A895="", "", IF(E895="", "Pendente", IF(C895=G895, "OK", "Valor divergente")))</f>
        <v/>
      </c>
    </row>
    <row r="896">
      <c r="A896">
        <f>IF(NF!A894&lt;&gt;"", NF!A894, "")</f>
        <v/>
      </c>
      <c r="B896">
        <f>IF(A896&lt;&gt;"", NF!B894, "")</f>
        <v/>
      </c>
      <c r="C896">
        <f>IF(A896&lt;&gt;"", NF!C894, "")</f>
        <v/>
      </c>
      <c r="D896">
        <f>IF(A896&lt;&gt;"", NF!D894, "")</f>
        <v/>
      </c>
      <c r="E896">
        <f>IF(A896&lt;&gt;"", XLOOKUP(A896, Extrato!$D:$D, Extrato!$A:$A, ""), "")</f>
        <v/>
      </c>
      <c r="F896">
        <f>IF(A896&lt;&gt;"", XLOOKUP(A896, Extrato!$D:$D, Extrato!$B:$B, ""), "")</f>
        <v/>
      </c>
      <c r="G896">
        <f>IF(A896&lt;&gt;"", XLOOKUP(A896, Extrato!$D:$D, Extrato!$C:$C, ""), "")</f>
        <v/>
      </c>
      <c r="H896">
        <f>IF(A896="", "", IF(E896="", "Pendente", IF(C896=G896, "OK", "Valor divergente")))</f>
        <v/>
      </c>
    </row>
    <row r="897">
      <c r="A897">
        <f>IF(NF!A895&lt;&gt;"", NF!A895, "")</f>
        <v/>
      </c>
      <c r="B897">
        <f>IF(A897&lt;&gt;"", NF!B895, "")</f>
        <v/>
      </c>
      <c r="C897">
        <f>IF(A897&lt;&gt;"", NF!C895, "")</f>
        <v/>
      </c>
      <c r="D897">
        <f>IF(A897&lt;&gt;"", NF!D895, "")</f>
        <v/>
      </c>
      <c r="E897">
        <f>IF(A897&lt;&gt;"", XLOOKUP(A897, Extrato!$D:$D, Extrato!$A:$A, ""), "")</f>
        <v/>
      </c>
      <c r="F897">
        <f>IF(A897&lt;&gt;"", XLOOKUP(A897, Extrato!$D:$D, Extrato!$B:$B, ""), "")</f>
        <v/>
      </c>
      <c r="G897">
        <f>IF(A897&lt;&gt;"", XLOOKUP(A897, Extrato!$D:$D, Extrato!$C:$C, ""), "")</f>
        <v/>
      </c>
      <c r="H897">
        <f>IF(A897="", "", IF(E897="", "Pendente", IF(C897=G897, "OK", "Valor divergente")))</f>
        <v/>
      </c>
    </row>
    <row r="898">
      <c r="A898">
        <f>IF(NF!A896&lt;&gt;"", NF!A896, "")</f>
        <v/>
      </c>
      <c r="B898">
        <f>IF(A898&lt;&gt;"", NF!B896, "")</f>
        <v/>
      </c>
      <c r="C898">
        <f>IF(A898&lt;&gt;"", NF!C896, "")</f>
        <v/>
      </c>
      <c r="D898">
        <f>IF(A898&lt;&gt;"", NF!D896, "")</f>
        <v/>
      </c>
      <c r="E898">
        <f>IF(A898&lt;&gt;"", XLOOKUP(A898, Extrato!$D:$D, Extrato!$A:$A, ""), "")</f>
        <v/>
      </c>
      <c r="F898">
        <f>IF(A898&lt;&gt;"", XLOOKUP(A898, Extrato!$D:$D, Extrato!$B:$B, ""), "")</f>
        <v/>
      </c>
      <c r="G898">
        <f>IF(A898&lt;&gt;"", XLOOKUP(A898, Extrato!$D:$D, Extrato!$C:$C, ""), "")</f>
        <v/>
      </c>
      <c r="H898">
        <f>IF(A898="", "", IF(E898="", "Pendente", IF(C898=G898, "OK", "Valor divergente")))</f>
        <v/>
      </c>
    </row>
    <row r="899">
      <c r="A899">
        <f>IF(NF!A897&lt;&gt;"", NF!A897, "")</f>
        <v/>
      </c>
      <c r="B899">
        <f>IF(A899&lt;&gt;"", NF!B897, "")</f>
        <v/>
      </c>
      <c r="C899">
        <f>IF(A899&lt;&gt;"", NF!C897, "")</f>
        <v/>
      </c>
      <c r="D899">
        <f>IF(A899&lt;&gt;"", NF!D897, "")</f>
        <v/>
      </c>
      <c r="E899">
        <f>IF(A899&lt;&gt;"", XLOOKUP(A899, Extrato!$D:$D, Extrato!$A:$A, ""), "")</f>
        <v/>
      </c>
      <c r="F899">
        <f>IF(A899&lt;&gt;"", XLOOKUP(A899, Extrato!$D:$D, Extrato!$B:$B, ""), "")</f>
        <v/>
      </c>
      <c r="G899">
        <f>IF(A899&lt;&gt;"", XLOOKUP(A899, Extrato!$D:$D, Extrato!$C:$C, ""), "")</f>
        <v/>
      </c>
      <c r="H899">
        <f>IF(A899="", "", IF(E899="", "Pendente", IF(C899=G899, "OK", "Valor divergente")))</f>
        <v/>
      </c>
    </row>
    <row r="900">
      <c r="A900">
        <f>IF(NF!A898&lt;&gt;"", NF!A898, "")</f>
        <v/>
      </c>
      <c r="B900">
        <f>IF(A900&lt;&gt;"", NF!B898, "")</f>
        <v/>
      </c>
      <c r="C900">
        <f>IF(A900&lt;&gt;"", NF!C898, "")</f>
        <v/>
      </c>
      <c r="D900">
        <f>IF(A900&lt;&gt;"", NF!D898, "")</f>
        <v/>
      </c>
      <c r="E900">
        <f>IF(A900&lt;&gt;"", XLOOKUP(A900, Extrato!$D:$D, Extrato!$A:$A, ""), "")</f>
        <v/>
      </c>
      <c r="F900">
        <f>IF(A900&lt;&gt;"", XLOOKUP(A900, Extrato!$D:$D, Extrato!$B:$B, ""), "")</f>
        <v/>
      </c>
      <c r="G900">
        <f>IF(A900&lt;&gt;"", XLOOKUP(A900, Extrato!$D:$D, Extrato!$C:$C, ""), "")</f>
        <v/>
      </c>
      <c r="H900">
        <f>IF(A900="", "", IF(E900="", "Pendente", IF(C900=G900, "OK", "Valor divergente")))</f>
        <v/>
      </c>
    </row>
    <row r="901">
      <c r="A901">
        <f>IF(NF!A899&lt;&gt;"", NF!A899, "")</f>
        <v/>
      </c>
      <c r="B901">
        <f>IF(A901&lt;&gt;"", NF!B899, "")</f>
        <v/>
      </c>
      <c r="C901">
        <f>IF(A901&lt;&gt;"", NF!C899, "")</f>
        <v/>
      </c>
      <c r="D901">
        <f>IF(A901&lt;&gt;"", NF!D899, "")</f>
        <v/>
      </c>
      <c r="E901">
        <f>IF(A901&lt;&gt;"", XLOOKUP(A901, Extrato!$D:$D, Extrato!$A:$A, ""), "")</f>
        <v/>
      </c>
      <c r="F901">
        <f>IF(A901&lt;&gt;"", XLOOKUP(A901, Extrato!$D:$D, Extrato!$B:$B, ""), "")</f>
        <v/>
      </c>
      <c r="G901">
        <f>IF(A901&lt;&gt;"", XLOOKUP(A901, Extrato!$D:$D, Extrato!$C:$C, ""), "")</f>
        <v/>
      </c>
      <c r="H901">
        <f>IF(A901="", "", IF(E901="", "Pendente", IF(C901=G901, "OK", "Valor divergente")))</f>
        <v/>
      </c>
    </row>
    <row r="902">
      <c r="A902">
        <f>IF(NF!A900&lt;&gt;"", NF!A900, "")</f>
        <v/>
      </c>
      <c r="B902">
        <f>IF(A902&lt;&gt;"", NF!B900, "")</f>
        <v/>
      </c>
      <c r="C902">
        <f>IF(A902&lt;&gt;"", NF!C900, "")</f>
        <v/>
      </c>
      <c r="D902">
        <f>IF(A902&lt;&gt;"", NF!D900, "")</f>
        <v/>
      </c>
      <c r="E902">
        <f>IF(A902&lt;&gt;"", XLOOKUP(A902, Extrato!$D:$D, Extrato!$A:$A, ""), "")</f>
        <v/>
      </c>
      <c r="F902">
        <f>IF(A902&lt;&gt;"", XLOOKUP(A902, Extrato!$D:$D, Extrato!$B:$B, ""), "")</f>
        <v/>
      </c>
      <c r="G902">
        <f>IF(A902&lt;&gt;"", XLOOKUP(A902, Extrato!$D:$D, Extrato!$C:$C, ""), "")</f>
        <v/>
      </c>
      <c r="H902">
        <f>IF(A902="", "", IF(E902="", "Pendente", IF(C902=G902, "OK", "Valor divergente")))</f>
        <v/>
      </c>
    </row>
    <row r="903">
      <c r="A903">
        <f>IF(NF!A901&lt;&gt;"", NF!A901, "")</f>
        <v/>
      </c>
      <c r="B903">
        <f>IF(A903&lt;&gt;"", NF!B901, "")</f>
        <v/>
      </c>
      <c r="C903">
        <f>IF(A903&lt;&gt;"", NF!C901, "")</f>
        <v/>
      </c>
      <c r="D903">
        <f>IF(A903&lt;&gt;"", NF!D901, "")</f>
        <v/>
      </c>
      <c r="E903">
        <f>IF(A903&lt;&gt;"", XLOOKUP(A903, Extrato!$D:$D, Extrato!$A:$A, ""), "")</f>
        <v/>
      </c>
      <c r="F903">
        <f>IF(A903&lt;&gt;"", XLOOKUP(A903, Extrato!$D:$D, Extrato!$B:$B, ""), "")</f>
        <v/>
      </c>
      <c r="G903">
        <f>IF(A903&lt;&gt;"", XLOOKUP(A903, Extrato!$D:$D, Extrato!$C:$C, ""), "")</f>
        <v/>
      </c>
      <c r="H903">
        <f>IF(A903="", "", IF(E903="", "Pendente", IF(C903=G903, "OK", "Valor divergente")))</f>
        <v/>
      </c>
    </row>
    <row r="904">
      <c r="A904">
        <f>IF(NF!A902&lt;&gt;"", NF!A902, "")</f>
        <v/>
      </c>
      <c r="B904">
        <f>IF(A904&lt;&gt;"", NF!B902, "")</f>
        <v/>
      </c>
      <c r="C904">
        <f>IF(A904&lt;&gt;"", NF!C902, "")</f>
        <v/>
      </c>
      <c r="D904">
        <f>IF(A904&lt;&gt;"", NF!D902, "")</f>
        <v/>
      </c>
      <c r="E904">
        <f>IF(A904&lt;&gt;"", XLOOKUP(A904, Extrato!$D:$D, Extrato!$A:$A, ""), "")</f>
        <v/>
      </c>
      <c r="F904">
        <f>IF(A904&lt;&gt;"", XLOOKUP(A904, Extrato!$D:$D, Extrato!$B:$B, ""), "")</f>
        <v/>
      </c>
      <c r="G904">
        <f>IF(A904&lt;&gt;"", XLOOKUP(A904, Extrato!$D:$D, Extrato!$C:$C, ""), "")</f>
        <v/>
      </c>
      <c r="H904">
        <f>IF(A904="", "", IF(E904="", "Pendente", IF(C904=G904, "OK", "Valor divergente")))</f>
        <v/>
      </c>
    </row>
    <row r="905">
      <c r="A905">
        <f>IF(NF!A903&lt;&gt;"", NF!A903, "")</f>
        <v/>
      </c>
      <c r="B905">
        <f>IF(A905&lt;&gt;"", NF!B903, "")</f>
        <v/>
      </c>
      <c r="C905">
        <f>IF(A905&lt;&gt;"", NF!C903, "")</f>
        <v/>
      </c>
      <c r="D905">
        <f>IF(A905&lt;&gt;"", NF!D903, "")</f>
        <v/>
      </c>
      <c r="E905">
        <f>IF(A905&lt;&gt;"", XLOOKUP(A905, Extrato!$D:$D, Extrato!$A:$A, ""), "")</f>
        <v/>
      </c>
      <c r="F905">
        <f>IF(A905&lt;&gt;"", XLOOKUP(A905, Extrato!$D:$D, Extrato!$B:$B, ""), "")</f>
        <v/>
      </c>
      <c r="G905">
        <f>IF(A905&lt;&gt;"", XLOOKUP(A905, Extrato!$D:$D, Extrato!$C:$C, ""), "")</f>
        <v/>
      </c>
      <c r="H905">
        <f>IF(A905="", "", IF(E905="", "Pendente", IF(C905=G905, "OK", "Valor divergente")))</f>
        <v/>
      </c>
    </row>
    <row r="906">
      <c r="A906">
        <f>IF(NF!A904&lt;&gt;"", NF!A904, "")</f>
        <v/>
      </c>
      <c r="B906">
        <f>IF(A906&lt;&gt;"", NF!B904, "")</f>
        <v/>
      </c>
      <c r="C906">
        <f>IF(A906&lt;&gt;"", NF!C904, "")</f>
        <v/>
      </c>
      <c r="D906">
        <f>IF(A906&lt;&gt;"", NF!D904, "")</f>
        <v/>
      </c>
      <c r="E906">
        <f>IF(A906&lt;&gt;"", XLOOKUP(A906, Extrato!$D:$D, Extrato!$A:$A, ""), "")</f>
        <v/>
      </c>
      <c r="F906">
        <f>IF(A906&lt;&gt;"", XLOOKUP(A906, Extrato!$D:$D, Extrato!$B:$B, ""), "")</f>
        <v/>
      </c>
      <c r="G906">
        <f>IF(A906&lt;&gt;"", XLOOKUP(A906, Extrato!$D:$D, Extrato!$C:$C, ""), "")</f>
        <v/>
      </c>
      <c r="H906">
        <f>IF(A906="", "", IF(E906="", "Pendente", IF(C906=G906, "OK", "Valor divergente")))</f>
        <v/>
      </c>
    </row>
    <row r="907">
      <c r="A907">
        <f>IF(NF!A905&lt;&gt;"", NF!A905, "")</f>
        <v/>
      </c>
      <c r="B907">
        <f>IF(A907&lt;&gt;"", NF!B905, "")</f>
        <v/>
      </c>
      <c r="C907">
        <f>IF(A907&lt;&gt;"", NF!C905, "")</f>
        <v/>
      </c>
      <c r="D907">
        <f>IF(A907&lt;&gt;"", NF!D905, "")</f>
        <v/>
      </c>
      <c r="E907">
        <f>IF(A907&lt;&gt;"", XLOOKUP(A907, Extrato!$D:$D, Extrato!$A:$A, ""), "")</f>
        <v/>
      </c>
      <c r="F907">
        <f>IF(A907&lt;&gt;"", XLOOKUP(A907, Extrato!$D:$D, Extrato!$B:$B, ""), "")</f>
        <v/>
      </c>
      <c r="G907">
        <f>IF(A907&lt;&gt;"", XLOOKUP(A907, Extrato!$D:$D, Extrato!$C:$C, ""), "")</f>
        <v/>
      </c>
      <c r="H907">
        <f>IF(A907="", "", IF(E907="", "Pendente", IF(C907=G907, "OK", "Valor divergente")))</f>
        <v/>
      </c>
    </row>
    <row r="908">
      <c r="A908">
        <f>IF(NF!A906&lt;&gt;"", NF!A906, "")</f>
        <v/>
      </c>
      <c r="B908">
        <f>IF(A908&lt;&gt;"", NF!B906, "")</f>
        <v/>
      </c>
      <c r="C908">
        <f>IF(A908&lt;&gt;"", NF!C906, "")</f>
        <v/>
      </c>
      <c r="D908">
        <f>IF(A908&lt;&gt;"", NF!D906, "")</f>
        <v/>
      </c>
      <c r="E908">
        <f>IF(A908&lt;&gt;"", XLOOKUP(A908, Extrato!$D:$D, Extrato!$A:$A, ""), "")</f>
        <v/>
      </c>
      <c r="F908">
        <f>IF(A908&lt;&gt;"", XLOOKUP(A908, Extrato!$D:$D, Extrato!$B:$B, ""), "")</f>
        <v/>
      </c>
      <c r="G908">
        <f>IF(A908&lt;&gt;"", XLOOKUP(A908, Extrato!$D:$D, Extrato!$C:$C, ""), "")</f>
        <v/>
      </c>
      <c r="H908">
        <f>IF(A908="", "", IF(E908="", "Pendente", IF(C908=G908, "OK", "Valor divergente")))</f>
        <v/>
      </c>
    </row>
    <row r="909">
      <c r="A909">
        <f>IF(NF!A907&lt;&gt;"", NF!A907, "")</f>
        <v/>
      </c>
      <c r="B909">
        <f>IF(A909&lt;&gt;"", NF!B907, "")</f>
        <v/>
      </c>
      <c r="C909">
        <f>IF(A909&lt;&gt;"", NF!C907, "")</f>
        <v/>
      </c>
      <c r="D909">
        <f>IF(A909&lt;&gt;"", NF!D907, "")</f>
        <v/>
      </c>
      <c r="E909">
        <f>IF(A909&lt;&gt;"", XLOOKUP(A909, Extrato!$D:$D, Extrato!$A:$A, ""), "")</f>
        <v/>
      </c>
      <c r="F909">
        <f>IF(A909&lt;&gt;"", XLOOKUP(A909, Extrato!$D:$D, Extrato!$B:$B, ""), "")</f>
        <v/>
      </c>
      <c r="G909">
        <f>IF(A909&lt;&gt;"", XLOOKUP(A909, Extrato!$D:$D, Extrato!$C:$C, ""), "")</f>
        <v/>
      </c>
      <c r="H909">
        <f>IF(A909="", "", IF(E909="", "Pendente", IF(C909=G909, "OK", "Valor divergente")))</f>
        <v/>
      </c>
    </row>
    <row r="910">
      <c r="A910">
        <f>IF(NF!A908&lt;&gt;"", NF!A908, "")</f>
        <v/>
      </c>
      <c r="B910">
        <f>IF(A910&lt;&gt;"", NF!B908, "")</f>
        <v/>
      </c>
      <c r="C910">
        <f>IF(A910&lt;&gt;"", NF!C908, "")</f>
        <v/>
      </c>
      <c r="D910">
        <f>IF(A910&lt;&gt;"", NF!D908, "")</f>
        <v/>
      </c>
      <c r="E910">
        <f>IF(A910&lt;&gt;"", XLOOKUP(A910, Extrato!$D:$D, Extrato!$A:$A, ""), "")</f>
        <v/>
      </c>
      <c r="F910">
        <f>IF(A910&lt;&gt;"", XLOOKUP(A910, Extrato!$D:$D, Extrato!$B:$B, ""), "")</f>
        <v/>
      </c>
      <c r="G910">
        <f>IF(A910&lt;&gt;"", XLOOKUP(A910, Extrato!$D:$D, Extrato!$C:$C, ""), "")</f>
        <v/>
      </c>
      <c r="H910">
        <f>IF(A910="", "", IF(E910="", "Pendente", IF(C910=G910, "OK", "Valor divergente")))</f>
        <v/>
      </c>
    </row>
    <row r="911">
      <c r="A911">
        <f>IF(NF!A909&lt;&gt;"", NF!A909, "")</f>
        <v/>
      </c>
      <c r="B911">
        <f>IF(A911&lt;&gt;"", NF!B909, "")</f>
        <v/>
      </c>
      <c r="C911">
        <f>IF(A911&lt;&gt;"", NF!C909, "")</f>
        <v/>
      </c>
      <c r="D911">
        <f>IF(A911&lt;&gt;"", NF!D909, "")</f>
        <v/>
      </c>
      <c r="E911">
        <f>IF(A911&lt;&gt;"", XLOOKUP(A911, Extrato!$D:$D, Extrato!$A:$A, ""), "")</f>
        <v/>
      </c>
      <c r="F911">
        <f>IF(A911&lt;&gt;"", XLOOKUP(A911, Extrato!$D:$D, Extrato!$B:$B, ""), "")</f>
        <v/>
      </c>
      <c r="G911">
        <f>IF(A911&lt;&gt;"", XLOOKUP(A911, Extrato!$D:$D, Extrato!$C:$C, ""), "")</f>
        <v/>
      </c>
      <c r="H911">
        <f>IF(A911="", "", IF(E911="", "Pendente", IF(C911=G911, "OK", "Valor divergente")))</f>
        <v/>
      </c>
    </row>
    <row r="912">
      <c r="A912">
        <f>IF(NF!A910&lt;&gt;"", NF!A910, "")</f>
        <v/>
      </c>
      <c r="B912">
        <f>IF(A912&lt;&gt;"", NF!B910, "")</f>
        <v/>
      </c>
      <c r="C912">
        <f>IF(A912&lt;&gt;"", NF!C910, "")</f>
        <v/>
      </c>
      <c r="D912">
        <f>IF(A912&lt;&gt;"", NF!D910, "")</f>
        <v/>
      </c>
      <c r="E912">
        <f>IF(A912&lt;&gt;"", XLOOKUP(A912, Extrato!$D:$D, Extrato!$A:$A, ""), "")</f>
        <v/>
      </c>
      <c r="F912">
        <f>IF(A912&lt;&gt;"", XLOOKUP(A912, Extrato!$D:$D, Extrato!$B:$B, ""), "")</f>
        <v/>
      </c>
      <c r="G912">
        <f>IF(A912&lt;&gt;"", XLOOKUP(A912, Extrato!$D:$D, Extrato!$C:$C, ""), "")</f>
        <v/>
      </c>
      <c r="H912">
        <f>IF(A912="", "", IF(E912="", "Pendente", IF(C912=G912, "OK", "Valor divergente")))</f>
        <v/>
      </c>
    </row>
    <row r="913">
      <c r="A913">
        <f>IF(NF!A911&lt;&gt;"", NF!A911, "")</f>
        <v/>
      </c>
      <c r="B913">
        <f>IF(A913&lt;&gt;"", NF!B911, "")</f>
        <v/>
      </c>
      <c r="C913">
        <f>IF(A913&lt;&gt;"", NF!C911, "")</f>
        <v/>
      </c>
      <c r="D913">
        <f>IF(A913&lt;&gt;"", NF!D911, "")</f>
        <v/>
      </c>
      <c r="E913">
        <f>IF(A913&lt;&gt;"", XLOOKUP(A913, Extrato!$D:$D, Extrato!$A:$A, ""), "")</f>
        <v/>
      </c>
      <c r="F913">
        <f>IF(A913&lt;&gt;"", XLOOKUP(A913, Extrato!$D:$D, Extrato!$B:$B, ""), "")</f>
        <v/>
      </c>
      <c r="G913">
        <f>IF(A913&lt;&gt;"", XLOOKUP(A913, Extrato!$D:$D, Extrato!$C:$C, ""), "")</f>
        <v/>
      </c>
      <c r="H913">
        <f>IF(A913="", "", IF(E913="", "Pendente", IF(C913=G913, "OK", "Valor divergente")))</f>
        <v/>
      </c>
    </row>
    <row r="914">
      <c r="A914">
        <f>IF(NF!A912&lt;&gt;"", NF!A912, "")</f>
        <v/>
      </c>
      <c r="B914">
        <f>IF(A914&lt;&gt;"", NF!B912, "")</f>
        <v/>
      </c>
      <c r="C914">
        <f>IF(A914&lt;&gt;"", NF!C912, "")</f>
        <v/>
      </c>
      <c r="D914">
        <f>IF(A914&lt;&gt;"", NF!D912, "")</f>
        <v/>
      </c>
      <c r="E914">
        <f>IF(A914&lt;&gt;"", XLOOKUP(A914, Extrato!$D:$D, Extrato!$A:$A, ""), "")</f>
        <v/>
      </c>
      <c r="F914">
        <f>IF(A914&lt;&gt;"", XLOOKUP(A914, Extrato!$D:$D, Extrato!$B:$B, ""), "")</f>
        <v/>
      </c>
      <c r="G914">
        <f>IF(A914&lt;&gt;"", XLOOKUP(A914, Extrato!$D:$D, Extrato!$C:$C, ""), "")</f>
        <v/>
      </c>
      <c r="H914">
        <f>IF(A914="", "", IF(E914="", "Pendente", IF(C914=G914, "OK", "Valor divergente")))</f>
        <v/>
      </c>
    </row>
    <row r="915">
      <c r="A915">
        <f>IF(NF!A913&lt;&gt;"", NF!A913, "")</f>
        <v/>
      </c>
      <c r="B915">
        <f>IF(A915&lt;&gt;"", NF!B913, "")</f>
        <v/>
      </c>
      <c r="C915">
        <f>IF(A915&lt;&gt;"", NF!C913, "")</f>
        <v/>
      </c>
      <c r="D915">
        <f>IF(A915&lt;&gt;"", NF!D913, "")</f>
        <v/>
      </c>
      <c r="E915">
        <f>IF(A915&lt;&gt;"", XLOOKUP(A915, Extrato!$D:$D, Extrato!$A:$A, ""), "")</f>
        <v/>
      </c>
      <c r="F915">
        <f>IF(A915&lt;&gt;"", XLOOKUP(A915, Extrato!$D:$D, Extrato!$B:$B, ""), "")</f>
        <v/>
      </c>
      <c r="G915">
        <f>IF(A915&lt;&gt;"", XLOOKUP(A915, Extrato!$D:$D, Extrato!$C:$C, ""), "")</f>
        <v/>
      </c>
      <c r="H915">
        <f>IF(A915="", "", IF(E915="", "Pendente", IF(C915=G915, "OK", "Valor divergente")))</f>
        <v/>
      </c>
    </row>
    <row r="916">
      <c r="A916">
        <f>IF(NF!A914&lt;&gt;"", NF!A914, "")</f>
        <v/>
      </c>
      <c r="B916">
        <f>IF(A916&lt;&gt;"", NF!B914, "")</f>
        <v/>
      </c>
      <c r="C916">
        <f>IF(A916&lt;&gt;"", NF!C914, "")</f>
        <v/>
      </c>
      <c r="D916">
        <f>IF(A916&lt;&gt;"", NF!D914, "")</f>
        <v/>
      </c>
      <c r="E916">
        <f>IF(A916&lt;&gt;"", XLOOKUP(A916, Extrato!$D:$D, Extrato!$A:$A, ""), "")</f>
        <v/>
      </c>
      <c r="F916">
        <f>IF(A916&lt;&gt;"", XLOOKUP(A916, Extrato!$D:$D, Extrato!$B:$B, ""), "")</f>
        <v/>
      </c>
      <c r="G916">
        <f>IF(A916&lt;&gt;"", XLOOKUP(A916, Extrato!$D:$D, Extrato!$C:$C, ""), "")</f>
        <v/>
      </c>
      <c r="H916">
        <f>IF(A916="", "", IF(E916="", "Pendente", IF(C916=G916, "OK", "Valor divergente")))</f>
        <v/>
      </c>
    </row>
    <row r="917">
      <c r="A917">
        <f>IF(NF!A915&lt;&gt;"", NF!A915, "")</f>
        <v/>
      </c>
      <c r="B917">
        <f>IF(A917&lt;&gt;"", NF!B915, "")</f>
        <v/>
      </c>
      <c r="C917">
        <f>IF(A917&lt;&gt;"", NF!C915, "")</f>
        <v/>
      </c>
      <c r="D917">
        <f>IF(A917&lt;&gt;"", NF!D915, "")</f>
        <v/>
      </c>
      <c r="E917">
        <f>IF(A917&lt;&gt;"", XLOOKUP(A917, Extrato!$D:$D, Extrato!$A:$A, ""), "")</f>
        <v/>
      </c>
      <c r="F917">
        <f>IF(A917&lt;&gt;"", XLOOKUP(A917, Extrato!$D:$D, Extrato!$B:$B, ""), "")</f>
        <v/>
      </c>
      <c r="G917">
        <f>IF(A917&lt;&gt;"", XLOOKUP(A917, Extrato!$D:$D, Extrato!$C:$C, ""), "")</f>
        <v/>
      </c>
      <c r="H917">
        <f>IF(A917="", "", IF(E917="", "Pendente", IF(C917=G917, "OK", "Valor divergente")))</f>
        <v/>
      </c>
    </row>
    <row r="918">
      <c r="A918">
        <f>IF(NF!A916&lt;&gt;"", NF!A916, "")</f>
        <v/>
      </c>
      <c r="B918">
        <f>IF(A918&lt;&gt;"", NF!B916, "")</f>
        <v/>
      </c>
      <c r="C918">
        <f>IF(A918&lt;&gt;"", NF!C916, "")</f>
        <v/>
      </c>
      <c r="D918">
        <f>IF(A918&lt;&gt;"", NF!D916, "")</f>
        <v/>
      </c>
      <c r="E918">
        <f>IF(A918&lt;&gt;"", XLOOKUP(A918, Extrato!$D:$D, Extrato!$A:$A, ""), "")</f>
        <v/>
      </c>
      <c r="F918">
        <f>IF(A918&lt;&gt;"", XLOOKUP(A918, Extrato!$D:$D, Extrato!$B:$B, ""), "")</f>
        <v/>
      </c>
      <c r="G918">
        <f>IF(A918&lt;&gt;"", XLOOKUP(A918, Extrato!$D:$D, Extrato!$C:$C, ""), "")</f>
        <v/>
      </c>
      <c r="H918">
        <f>IF(A918="", "", IF(E918="", "Pendente", IF(C918=G918, "OK", "Valor divergente")))</f>
        <v/>
      </c>
    </row>
    <row r="919">
      <c r="A919">
        <f>IF(NF!A917&lt;&gt;"", NF!A917, "")</f>
        <v/>
      </c>
      <c r="B919">
        <f>IF(A919&lt;&gt;"", NF!B917, "")</f>
        <v/>
      </c>
      <c r="C919">
        <f>IF(A919&lt;&gt;"", NF!C917, "")</f>
        <v/>
      </c>
      <c r="D919">
        <f>IF(A919&lt;&gt;"", NF!D917, "")</f>
        <v/>
      </c>
      <c r="E919">
        <f>IF(A919&lt;&gt;"", XLOOKUP(A919, Extrato!$D:$D, Extrato!$A:$A, ""), "")</f>
        <v/>
      </c>
      <c r="F919">
        <f>IF(A919&lt;&gt;"", XLOOKUP(A919, Extrato!$D:$D, Extrato!$B:$B, ""), "")</f>
        <v/>
      </c>
      <c r="G919">
        <f>IF(A919&lt;&gt;"", XLOOKUP(A919, Extrato!$D:$D, Extrato!$C:$C, ""), "")</f>
        <v/>
      </c>
      <c r="H919">
        <f>IF(A919="", "", IF(E919="", "Pendente", IF(C919=G919, "OK", "Valor divergente")))</f>
        <v/>
      </c>
    </row>
    <row r="920">
      <c r="A920">
        <f>IF(NF!A918&lt;&gt;"", NF!A918, "")</f>
        <v/>
      </c>
      <c r="B920">
        <f>IF(A920&lt;&gt;"", NF!B918, "")</f>
        <v/>
      </c>
      <c r="C920">
        <f>IF(A920&lt;&gt;"", NF!C918, "")</f>
        <v/>
      </c>
      <c r="D920">
        <f>IF(A920&lt;&gt;"", NF!D918, "")</f>
        <v/>
      </c>
      <c r="E920">
        <f>IF(A920&lt;&gt;"", XLOOKUP(A920, Extrato!$D:$D, Extrato!$A:$A, ""), "")</f>
        <v/>
      </c>
      <c r="F920">
        <f>IF(A920&lt;&gt;"", XLOOKUP(A920, Extrato!$D:$D, Extrato!$B:$B, ""), "")</f>
        <v/>
      </c>
      <c r="G920">
        <f>IF(A920&lt;&gt;"", XLOOKUP(A920, Extrato!$D:$D, Extrato!$C:$C, ""), "")</f>
        <v/>
      </c>
      <c r="H920">
        <f>IF(A920="", "", IF(E920="", "Pendente", IF(C920=G920, "OK", "Valor divergente")))</f>
        <v/>
      </c>
    </row>
    <row r="921">
      <c r="A921">
        <f>IF(NF!A919&lt;&gt;"", NF!A919, "")</f>
        <v/>
      </c>
      <c r="B921">
        <f>IF(A921&lt;&gt;"", NF!B919, "")</f>
        <v/>
      </c>
      <c r="C921">
        <f>IF(A921&lt;&gt;"", NF!C919, "")</f>
        <v/>
      </c>
      <c r="D921">
        <f>IF(A921&lt;&gt;"", NF!D919, "")</f>
        <v/>
      </c>
      <c r="E921">
        <f>IF(A921&lt;&gt;"", XLOOKUP(A921, Extrato!$D:$D, Extrato!$A:$A, ""), "")</f>
        <v/>
      </c>
      <c r="F921">
        <f>IF(A921&lt;&gt;"", XLOOKUP(A921, Extrato!$D:$D, Extrato!$B:$B, ""), "")</f>
        <v/>
      </c>
      <c r="G921">
        <f>IF(A921&lt;&gt;"", XLOOKUP(A921, Extrato!$D:$D, Extrato!$C:$C, ""), "")</f>
        <v/>
      </c>
      <c r="H921">
        <f>IF(A921="", "", IF(E921="", "Pendente", IF(C921=G921, "OK", "Valor divergente")))</f>
        <v/>
      </c>
    </row>
    <row r="922">
      <c r="A922">
        <f>IF(NF!A920&lt;&gt;"", NF!A920, "")</f>
        <v/>
      </c>
      <c r="B922">
        <f>IF(A922&lt;&gt;"", NF!B920, "")</f>
        <v/>
      </c>
      <c r="C922">
        <f>IF(A922&lt;&gt;"", NF!C920, "")</f>
        <v/>
      </c>
      <c r="D922">
        <f>IF(A922&lt;&gt;"", NF!D920, "")</f>
        <v/>
      </c>
      <c r="E922">
        <f>IF(A922&lt;&gt;"", XLOOKUP(A922, Extrato!$D:$D, Extrato!$A:$A, ""), "")</f>
        <v/>
      </c>
      <c r="F922">
        <f>IF(A922&lt;&gt;"", XLOOKUP(A922, Extrato!$D:$D, Extrato!$B:$B, ""), "")</f>
        <v/>
      </c>
      <c r="G922">
        <f>IF(A922&lt;&gt;"", XLOOKUP(A922, Extrato!$D:$D, Extrato!$C:$C, ""), "")</f>
        <v/>
      </c>
      <c r="H922">
        <f>IF(A922="", "", IF(E922="", "Pendente", IF(C922=G922, "OK", "Valor divergente")))</f>
        <v/>
      </c>
    </row>
    <row r="923">
      <c r="A923">
        <f>IF(NF!A921&lt;&gt;"", NF!A921, "")</f>
        <v/>
      </c>
      <c r="B923">
        <f>IF(A923&lt;&gt;"", NF!B921, "")</f>
        <v/>
      </c>
      <c r="C923">
        <f>IF(A923&lt;&gt;"", NF!C921, "")</f>
        <v/>
      </c>
      <c r="D923">
        <f>IF(A923&lt;&gt;"", NF!D921, "")</f>
        <v/>
      </c>
      <c r="E923">
        <f>IF(A923&lt;&gt;"", XLOOKUP(A923, Extrato!$D:$D, Extrato!$A:$A, ""), "")</f>
        <v/>
      </c>
      <c r="F923">
        <f>IF(A923&lt;&gt;"", XLOOKUP(A923, Extrato!$D:$D, Extrato!$B:$B, ""), "")</f>
        <v/>
      </c>
      <c r="G923">
        <f>IF(A923&lt;&gt;"", XLOOKUP(A923, Extrato!$D:$D, Extrato!$C:$C, ""), "")</f>
        <v/>
      </c>
      <c r="H923">
        <f>IF(A923="", "", IF(E923="", "Pendente", IF(C923=G923, "OK", "Valor divergente")))</f>
        <v/>
      </c>
    </row>
    <row r="924">
      <c r="A924">
        <f>IF(NF!A922&lt;&gt;"", NF!A922, "")</f>
        <v/>
      </c>
      <c r="B924">
        <f>IF(A924&lt;&gt;"", NF!B922, "")</f>
        <v/>
      </c>
      <c r="C924">
        <f>IF(A924&lt;&gt;"", NF!C922, "")</f>
        <v/>
      </c>
      <c r="D924">
        <f>IF(A924&lt;&gt;"", NF!D922, "")</f>
        <v/>
      </c>
      <c r="E924">
        <f>IF(A924&lt;&gt;"", XLOOKUP(A924, Extrato!$D:$D, Extrato!$A:$A, ""), "")</f>
        <v/>
      </c>
      <c r="F924">
        <f>IF(A924&lt;&gt;"", XLOOKUP(A924, Extrato!$D:$D, Extrato!$B:$B, ""), "")</f>
        <v/>
      </c>
      <c r="G924">
        <f>IF(A924&lt;&gt;"", XLOOKUP(A924, Extrato!$D:$D, Extrato!$C:$C, ""), "")</f>
        <v/>
      </c>
      <c r="H924">
        <f>IF(A924="", "", IF(E924="", "Pendente", IF(C924=G924, "OK", "Valor divergente")))</f>
        <v/>
      </c>
    </row>
    <row r="925">
      <c r="A925">
        <f>IF(NF!A923&lt;&gt;"", NF!A923, "")</f>
        <v/>
      </c>
      <c r="B925">
        <f>IF(A925&lt;&gt;"", NF!B923, "")</f>
        <v/>
      </c>
      <c r="C925">
        <f>IF(A925&lt;&gt;"", NF!C923, "")</f>
        <v/>
      </c>
      <c r="D925">
        <f>IF(A925&lt;&gt;"", NF!D923, "")</f>
        <v/>
      </c>
      <c r="E925">
        <f>IF(A925&lt;&gt;"", XLOOKUP(A925, Extrato!$D:$D, Extrato!$A:$A, ""), "")</f>
        <v/>
      </c>
      <c r="F925">
        <f>IF(A925&lt;&gt;"", XLOOKUP(A925, Extrato!$D:$D, Extrato!$B:$B, ""), "")</f>
        <v/>
      </c>
      <c r="G925">
        <f>IF(A925&lt;&gt;"", XLOOKUP(A925, Extrato!$D:$D, Extrato!$C:$C, ""), "")</f>
        <v/>
      </c>
      <c r="H925">
        <f>IF(A925="", "", IF(E925="", "Pendente", IF(C925=G925, "OK", "Valor divergente")))</f>
        <v/>
      </c>
    </row>
    <row r="926">
      <c r="A926">
        <f>IF(NF!A924&lt;&gt;"", NF!A924, "")</f>
        <v/>
      </c>
      <c r="B926">
        <f>IF(A926&lt;&gt;"", NF!B924, "")</f>
        <v/>
      </c>
      <c r="C926">
        <f>IF(A926&lt;&gt;"", NF!C924, "")</f>
        <v/>
      </c>
      <c r="D926">
        <f>IF(A926&lt;&gt;"", NF!D924, "")</f>
        <v/>
      </c>
      <c r="E926">
        <f>IF(A926&lt;&gt;"", XLOOKUP(A926, Extrato!$D:$D, Extrato!$A:$A, ""), "")</f>
        <v/>
      </c>
      <c r="F926">
        <f>IF(A926&lt;&gt;"", XLOOKUP(A926, Extrato!$D:$D, Extrato!$B:$B, ""), "")</f>
        <v/>
      </c>
      <c r="G926">
        <f>IF(A926&lt;&gt;"", XLOOKUP(A926, Extrato!$D:$D, Extrato!$C:$C, ""), "")</f>
        <v/>
      </c>
      <c r="H926">
        <f>IF(A926="", "", IF(E926="", "Pendente", IF(C926=G926, "OK", "Valor divergente")))</f>
        <v/>
      </c>
    </row>
    <row r="927">
      <c r="A927">
        <f>IF(NF!A925&lt;&gt;"", NF!A925, "")</f>
        <v/>
      </c>
      <c r="B927">
        <f>IF(A927&lt;&gt;"", NF!B925, "")</f>
        <v/>
      </c>
      <c r="C927">
        <f>IF(A927&lt;&gt;"", NF!C925, "")</f>
        <v/>
      </c>
      <c r="D927">
        <f>IF(A927&lt;&gt;"", NF!D925, "")</f>
        <v/>
      </c>
      <c r="E927">
        <f>IF(A927&lt;&gt;"", XLOOKUP(A927, Extrato!$D:$D, Extrato!$A:$A, ""), "")</f>
        <v/>
      </c>
      <c r="F927">
        <f>IF(A927&lt;&gt;"", XLOOKUP(A927, Extrato!$D:$D, Extrato!$B:$B, ""), "")</f>
        <v/>
      </c>
      <c r="G927">
        <f>IF(A927&lt;&gt;"", XLOOKUP(A927, Extrato!$D:$D, Extrato!$C:$C, ""), "")</f>
        <v/>
      </c>
      <c r="H927">
        <f>IF(A927="", "", IF(E927="", "Pendente", IF(C927=G927, "OK", "Valor divergente")))</f>
        <v/>
      </c>
    </row>
    <row r="928">
      <c r="A928">
        <f>IF(NF!A926&lt;&gt;"", NF!A926, "")</f>
        <v/>
      </c>
      <c r="B928">
        <f>IF(A928&lt;&gt;"", NF!B926, "")</f>
        <v/>
      </c>
      <c r="C928">
        <f>IF(A928&lt;&gt;"", NF!C926, "")</f>
        <v/>
      </c>
      <c r="D928">
        <f>IF(A928&lt;&gt;"", NF!D926, "")</f>
        <v/>
      </c>
      <c r="E928">
        <f>IF(A928&lt;&gt;"", XLOOKUP(A928, Extrato!$D:$D, Extrato!$A:$A, ""), "")</f>
        <v/>
      </c>
      <c r="F928">
        <f>IF(A928&lt;&gt;"", XLOOKUP(A928, Extrato!$D:$D, Extrato!$B:$B, ""), "")</f>
        <v/>
      </c>
      <c r="G928">
        <f>IF(A928&lt;&gt;"", XLOOKUP(A928, Extrato!$D:$D, Extrato!$C:$C, ""), "")</f>
        <v/>
      </c>
      <c r="H928">
        <f>IF(A928="", "", IF(E928="", "Pendente", IF(C928=G928, "OK", "Valor divergente")))</f>
        <v/>
      </c>
    </row>
    <row r="929">
      <c r="A929">
        <f>IF(NF!A927&lt;&gt;"", NF!A927, "")</f>
        <v/>
      </c>
      <c r="B929">
        <f>IF(A929&lt;&gt;"", NF!B927, "")</f>
        <v/>
      </c>
      <c r="C929">
        <f>IF(A929&lt;&gt;"", NF!C927, "")</f>
        <v/>
      </c>
      <c r="D929">
        <f>IF(A929&lt;&gt;"", NF!D927, "")</f>
        <v/>
      </c>
      <c r="E929">
        <f>IF(A929&lt;&gt;"", XLOOKUP(A929, Extrato!$D:$D, Extrato!$A:$A, ""), "")</f>
        <v/>
      </c>
      <c r="F929">
        <f>IF(A929&lt;&gt;"", XLOOKUP(A929, Extrato!$D:$D, Extrato!$B:$B, ""), "")</f>
        <v/>
      </c>
      <c r="G929">
        <f>IF(A929&lt;&gt;"", XLOOKUP(A929, Extrato!$D:$D, Extrato!$C:$C, ""), "")</f>
        <v/>
      </c>
      <c r="H929">
        <f>IF(A929="", "", IF(E929="", "Pendente", IF(C929=G929, "OK", "Valor divergente")))</f>
        <v/>
      </c>
    </row>
    <row r="930">
      <c r="A930">
        <f>IF(NF!A928&lt;&gt;"", NF!A928, "")</f>
        <v/>
      </c>
      <c r="B930">
        <f>IF(A930&lt;&gt;"", NF!B928, "")</f>
        <v/>
      </c>
      <c r="C930">
        <f>IF(A930&lt;&gt;"", NF!C928, "")</f>
        <v/>
      </c>
      <c r="D930">
        <f>IF(A930&lt;&gt;"", NF!D928, "")</f>
        <v/>
      </c>
      <c r="E930">
        <f>IF(A930&lt;&gt;"", XLOOKUP(A930, Extrato!$D:$D, Extrato!$A:$A, ""), "")</f>
        <v/>
      </c>
      <c r="F930">
        <f>IF(A930&lt;&gt;"", XLOOKUP(A930, Extrato!$D:$D, Extrato!$B:$B, ""), "")</f>
        <v/>
      </c>
      <c r="G930">
        <f>IF(A930&lt;&gt;"", XLOOKUP(A930, Extrato!$D:$D, Extrato!$C:$C, ""), "")</f>
        <v/>
      </c>
      <c r="H930">
        <f>IF(A930="", "", IF(E930="", "Pendente", IF(C930=G930, "OK", "Valor divergente")))</f>
        <v/>
      </c>
    </row>
    <row r="931">
      <c r="A931">
        <f>IF(NF!A929&lt;&gt;"", NF!A929, "")</f>
        <v/>
      </c>
      <c r="B931">
        <f>IF(A931&lt;&gt;"", NF!B929, "")</f>
        <v/>
      </c>
      <c r="C931">
        <f>IF(A931&lt;&gt;"", NF!C929, "")</f>
        <v/>
      </c>
      <c r="D931">
        <f>IF(A931&lt;&gt;"", NF!D929, "")</f>
        <v/>
      </c>
      <c r="E931">
        <f>IF(A931&lt;&gt;"", XLOOKUP(A931, Extrato!$D:$D, Extrato!$A:$A, ""), "")</f>
        <v/>
      </c>
      <c r="F931">
        <f>IF(A931&lt;&gt;"", XLOOKUP(A931, Extrato!$D:$D, Extrato!$B:$B, ""), "")</f>
        <v/>
      </c>
      <c r="G931">
        <f>IF(A931&lt;&gt;"", XLOOKUP(A931, Extrato!$D:$D, Extrato!$C:$C, ""), "")</f>
        <v/>
      </c>
      <c r="H931">
        <f>IF(A931="", "", IF(E931="", "Pendente", IF(C931=G931, "OK", "Valor divergente")))</f>
        <v/>
      </c>
    </row>
    <row r="932">
      <c r="A932">
        <f>IF(NF!A930&lt;&gt;"", NF!A930, "")</f>
        <v/>
      </c>
      <c r="B932">
        <f>IF(A932&lt;&gt;"", NF!B930, "")</f>
        <v/>
      </c>
      <c r="C932">
        <f>IF(A932&lt;&gt;"", NF!C930, "")</f>
        <v/>
      </c>
      <c r="D932">
        <f>IF(A932&lt;&gt;"", NF!D930, "")</f>
        <v/>
      </c>
      <c r="E932">
        <f>IF(A932&lt;&gt;"", XLOOKUP(A932, Extrato!$D:$D, Extrato!$A:$A, ""), "")</f>
        <v/>
      </c>
      <c r="F932">
        <f>IF(A932&lt;&gt;"", XLOOKUP(A932, Extrato!$D:$D, Extrato!$B:$B, ""), "")</f>
        <v/>
      </c>
      <c r="G932">
        <f>IF(A932&lt;&gt;"", XLOOKUP(A932, Extrato!$D:$D, Extrato!$C:$C, ""), "")</f>
        <v/>
      </c>
      <c r="H932">
        <f>IF(A932="", "", IF(E932="", "Pendente", IF(C932=G932, "OK", "Valor divergente")))</f>
        <v/>
      </c>
    </row>
    <row r="933">
      <c r="A933">
        <f>IF(NF!A931&lt;&gt;"", NF!A931, "")</f>
        <v/>
      </c>
      <c r="B933">
        <f>IF(A933&lt;&gt;"", NF!B931, "")</f>
        <v/>
      </c>
      <c r="C933">
        <f>IF(A933&lt;&gt;"", NF!C931, "")</f>
        <v/>
      </c>
      <c r="D933">
        <f>IF(A933&lt;&gt;"", NF!D931, "")</f>
        <v/>
      </c>
      <c r="E933">
        <f>IF(A933&lt;&gt;"", XLOOKUP(A933, Extrato!$D:$D, Extrato!$A:$A, ""), "")</f>
        <v/>
      </c>
      <c r="F933">
        <f>IF(A933&lt;&gt;"", XLOOKUP(A933, Extrato!$D:$D, Extrato!$B:$B, ""), "")</f>
        <v/>
      </c>
      <c r="G933">
        <f>IF(A933&lt;&gt;"", XLOOKUP(A933, Extrato!$D:$D, Extrato!$C:$C, ""), "")</f>
        <v/>
      </c>
      <c r="H933">
        <f>IF(A933="", "", IF(E933="", "Pendente", IF(C933=G933, "OK", "Valor divergente")))</f>
        <v/>
      </c>
    </row>
    <row r="934">
      <c r="A934">
        <f>IF(NF!A932&lt;&gt;"", NF!A932, "")</f>
        <v/>
      </c>
      <c r="B934">
        <f>IF(A934&lt;&gt;"", NF!B932, "")</f>
        <v/>
      </c>
      <c r="C934">
        <f>IF(A934&lt;&gt;"", NF!C932, "")</f>
        <v/>
      </c>
      <c r="D934">
        <f>IF(A934&lt;&gt;"", NF!D932, "")</f>
        <v/>
      </c>
      <c r="E934">
        <f>IF(A934&lt;&gt;"", XLOOKUP(A934, Extrato!$D:$D, Extrato!$A:$A, ""), "")</f>
        <v/>
      </c>
      <c r="F934">
        <f>IF(A934&lt;&gt;"", XLOOKUP(A934, Extrato!$D:$D, Extrato!$B:$B, ""), "")</f>
        <v/>
      </c>
      <c r="G934">
        <f>IF(A934&lt;&gt;"", XLOOKUP(A934, Extrato!$D:$D, Extrato!$C:$C, ""), "")</f>
        <v/>
      </c>
      <c r="H934">
        <f>IF(A934="", "", IF(E934="", "Pendente", IF(C934=G934, "OK", "Valor divergente")))</f>
        <v/>
      </c>
    </row>
    <row r="935">
      <c r="A935">
        <f>IF(NF!A933&lt;&gt;"", NF!A933, "")</f>
        <v/>
      </c>
      <c r="B935">
        <f>IF(A935&lt;&gt;"", NF!B933, "")</f>
        <v/>
      </c>
      <c r="C935">
        <f>IF(A935&lt;&gt;"", NF!C933, "")</f>
        <v/>
      </c>
      <c r="D935">
        <f>IF(A935&lt;&gt;"", NF!D933, "")</f>
        <v/>
      </c>
      <c r="E935">
        <f>IF(A935&lt;&gt;"", XLOOKUP(A935, Extrato!$D:$D, Extrato!$A:$A, ""), "")</f>
        <v/>
      </c>
      <c r="F935">
        <f>IF(A935&lt;&gt;"", XLOOKUP(A935, Extrato!$D:$D, Extrato!$B:$B, ""), "")</f>
        <v/>
      </c>
      <c r="G935">
        <f>IF(A935&lt;&gt;"", XLOOKUP(A935, Extrato!$D:$D, Extrato!$C:$C, ""), "")</f>
        <v/>
      </c>
      <c r="H935">
        <f>IF(A935="", "", IF(E935="", "Pendente", IF(C935=G935, "OK", "Valor divergente")))</f>
        <v/>
      </c>
    </row>
    <row r="936">
      <c r="A936">
        <f>IF(NF!A934&lt;&gt;"", NF!A934, "")</f>
        <v/>
      </c>
      <c r="B936">
        <f>IF(A936&lt;&gt;"", NF!B934, "")</f>
        <v/>
      </c>
      <c r="C936">
        <f>IF(A936&lt;&gt;"", NF!C934, "")</f>
        <v/>
      </c>
      <c r="D936">
        <f>IF(A936&lt;&gt;"", NF!D934, "")</f>
        <v/>
      </c>
      <c r="E936">
        <f>IF(A936&lt;&gt;"", XLOOKUP(A936, Extrato!$D:$D, Extrato!$A:$A, ""), "")</f>
        <v/>
      </c>
      <c r="F936">
        <f>IF(A936&lt;&gt;"", XLOOKUP(A936, Extrato!$D:$D, Extrato!$B:$B, ""), "")</f>
        <v/>
      </c>
      <c r="G936">
        <f>IF(A936&lt;&gt;"", XLOOKUP(A936, Extrato!$D:$D, Extrato!$C:$C, ""), "")</f>
        <v/>
      </c>
      <c r="H936">
        <f>IF(A936="", "", IF(E936="", "Pendente", IF(C936=G936, "OK", "Valor divergente")))</f>
        <v/>
      </c>
    </row>
    <row r="937">
      <c r="A937">
        <f>IF(NF!A935&lt;&gt;"", NF!A935, "")</f>
        <v/>
      </c>
      <c r="B937">
        <f>IF(A937&lt;&gt;"", NF!B935, "")</f>
        <v/>
      </c>
      <c r="C937">
        <f>IF(A937&lt;&gt;"", NF!C935, "")</f>
        <v/>
      </c>
      <c r="D937">
        <f>IF(A937&lt;&gt;"", NF!D935, "")</f>
        <v/>
      </c>
      <c r="E937">
        <f>IF(A937&lt;&gt;"", XLOOKUP(A937, Extrato!$D:$D, Extrato!$A:$A, ""), "")</f>
        <v/>
      </c>
      <c r="F937">
        <f>IF(A937&lt;&gt;"", XLOOKUP(A937, Extrato!$D:$D, Extrato!$B:$B, ""), "")</f>
        <v/>
      </c>
      <c r="G937">
        <f>IF(A937&lt;&gt;"", XLOOKUP(A937, Extrato!$D:$D, Extrato!$C:$C, ""), "")</f>
        <v/>
      </c>
      <c r="H937">
        <f>IF(A937="", "", IF(E937="", "Pendente", IF(C937=G937, "OK", "Valor divergente")))</f>
        <v/>
      </c>
    </row>
    <row r="938">
      <c r="A938">
        <f>IF(NF!A936&lt;&gt;"", NF!A936, "")</f>
        <v/>
      </c>
      <c r="B938">
        <f>IF(A938&lt;&gt;"", NF!B936, "")</f>
        <v/>
      </c>
      <c r="C938">
        <f>IF(A938&lt;&gt;"", NF!C936, "")</f>
        <v/>
      </c>
      <c r="D938">
        <f>IF(A938&lt;&gt;"", NF!D936, "")</f>
        <v/>
      </c>
      <c r="E938">
        <f>IF(A938&lt;&gt;"", XLOOKUP(A938, Extrato!$D:$D, Extrato!$A:$A, ""), "")</f>
        <v/>
      </c>
      <c r="F938">
        <f>IF(A938&lt;&gt;"", XLOOKUP(A938, Extrato!$D:$D, Extrato!$B:$B, ""), "")</f>
        <v/>
      </c>
      <c r="G938">
        <f>IF(A938&lt;&gt;"", XLOOKUP(A938, Extrato!$D:$D, Extrato!$C:$C, ""), "")</f>
        <v/>
      </c>
      <c r="H938">
        <f>IF(A938="", "", IF(E938="", "Pendente", IF(C938=G938, "OK", "Valor divergente")))</f>
        <v/>
      </c>
    </row>
    <row r="939">
      <c r="A939">
        <f>IF(NF!A937&lt;&gt;"", NF!A937, "")</f>
        <v/>
      </c>
      <c r="B939">
        <f>IF(A939&lt;&gt;"", NF!B937, "")</f>
        <v/>
      </c>
      <c r="C939">
        <f>IF(A939&lt;&gt;"", NF!C937, "")</f>
        <v/>
      </c>
      <c r="D939">
        <f>IF(A939&lt;&gt;"", NF!D937, "")</f>
        <v/>
      </c>
      <c r="E939">
        <f>IF(A939&lt;&gt;"", XLOOKUP(A939, Extrato!$D:$D, Extrato!$A:$A, ""), "")</f>
        <v/>
      </c>
      <c r="F939">
        <f>IF(A939&lt;&gt;"", XLOOKUP(A939, Extrato!$D:$D, Extrato!$B:$B, ""), "")</f>
        <v/>
      </c>
      <c r="G939">
        <f>IF(A939&lt;&gt;"", XLOOKUP(A939, Extrato!$D:$D, Extrato!$C:$C, ""), "")</f>
        <v/>
      </c>
      <c r="H939">
        <f>IF(A939="", "", IF(E939="", "Pendente", IF(C939=G939, "OK", "Valor divergente")))</f>
        <v/>
      </c>
    </row>
    <row r="940">
      <c r="A940">
        <f>IF(NF!A938&lt;&gt;"", NF!A938, "")</f>
        <v/>
      </c>
      <c r="B940">
        <f>IF(A940&lt;&gt;"", NF!B938, "")</f>
        <v/>
      </c>
      <c r="C940">
        <f>IF(A940&lt;&gt;"", NF!C938, "")</f>
        <v/>
      </c>
      <c r="D940">
        <f>IF(A940&lt;&gt;"", NF!D938, "")</f>
        <v/>
      </c>
      <c r="E940">
        <f>IF(A940&lt;&gt;"", XLOOKUP(A940, Extrato!$D:$D, Extrato!$A:$A, ""), "")</f>
        <v/>
      </c>
      <c r="F940">
        <f>IF(A940&lt;&gt;"", XLOOKUP(A940, Extrato!$D:$D, Extrato!$B:$B, ""), "")</f>
        <v/>
      </c>
      <c r="G940">
        <f>IF(A940&lt;&gt;"", XLOOKUP(A940, Extrato!$D:$D, Extrato!$C:$C, ""), "")</f>
        <v/>
      </c>
      <c r="H940">
        <f>IF(A940="", "", IF(E940="", "Pendente", IF(C940=G940, "OK", "Valor divergente")))</f>
        <v/>
      </c>
    </row>
    <row r="941">
      <c r="A941">
        <f>IF(NF!A939&lt;&gt;"", NF!A939, "")</f>
        <v/>
      </c>
      <c r="B941">
        <f>IF(A941&lt;&gt;"", NF!B939, "")</f>
        <v/>
      </c>
      <c r="C941">
        <f>IF(A941&lt;&gt;"", NF!C939, "")</f>
        <v/>
      </c>
      <c r="D941">
        <f>IF(A941&lt;&gt;"", NF!D939, "")</f>
        <v/>
      </c>
      <c r="E941">
        <f>IF(A941&lt;&gt;"", XLOOKUP(A941, Extrato!$D:$D, Extrato!$A:$A, ""), "")</f>
        <v/>
      </c>
      <c r="F941">
        <f>IF(A941&lt;&gt;"", XLOOKUP(A941, Extrato!$D:$D, Extrato!$B:$B, ""), "")</f>
        <v/>
      </c>
      <c r="G941">
        <f>IF(A941&lt;&gt;"", XLOOKUP(A941, Extrato!$D:$D, Extrato!$C:$C, ""), "")</f>
        <v/>
      </c>
      <c r="H941">
        <f>IF(A941="", "", IF(E941="", "Pendente", IF(C941=G941, "OK", "Valor divergente")))</f>
        <v/>
      </c>
    </row>
    <row r="942">
      <c r="A942">
        <f>IF(NF!A940&lt;&gt;"", NF!A940, "")</f>
        <v/>
      </c>
      <c r="B942">
        <f>IF(A942&lt;&gt;"", NF!B940, "")</f>
        <v/>
      </c>
      <c r="C942">
        <f>IF(A942&lt;&gt;"", NF!C940, "")</f>
        <v/>
      </c>
      <c r="D942">
        <f>IF(A942&lt;&gt;"", NF!D940, "")</f>
        <v/>
      </c>
      <c r="E942">
        <f>IF(A942&lt;&gt;"", XLOOKUP(A942, Extrato!$D:$D, Extrato!$A:$A, ""), "")</f>
        <v/>
      </c>
      <c r="F942">
        <f>IF(A942&lt;&gt;"", XLOOKUP(A942, Extrato!$D:$D, Extrato!$B:$B, ""), "")</f>
        <v/>
      </c>
      <c r="G942">
        <f>IF(A942&lt;&gt;"", XLOOKUP(A942, Extrato!$D:$D, Extrato!$C:$C, ""), "")</f>
        <v/>
      </c>
      <c r="H942">
        <f>IF(A942="", "", IF(E942="", "Pendente", IF(C942=G942, "OK", "Valor divergente")))</f>
        <v/>
      </c>
    </row>
    <row r="943">
      <c r="A943">
        <f>IF(NF!A941&lt;&gt;"", NF!A941, "")</f>
        <v/>
      </c>
      <c r="B943">
        <f>IF(A943&lt;&gt;"", NF!B941, "")</f>
        <v/>
      </c>
      <c r="C943">
        <f>IF(A943&lt;&gt;"", NF!C941, "")</f>
        <v/>
      </c>
      <c r="D943">
        <f>IF(A943&lt;&gt;"", NF!D941, "")</f>
        <v/>
      </c>
      <c r="E943">
        <f>IF(A943&lt;&gt;"", XLOOKUP(A943, Extrato!$D:$D, Extrato!$A:$A, ""), "")</f>
        <v/>
      </c>
      <c r="F943">
        <f>IF(A943&lt;&gt;"", XLOOKUP(A943, Extrato!$D:$D, Extrato!$B:$B, ""), "")</f>
        <v/>
      </c>
      <c r="G943">
        <f>IF(A943&lt;&gt;"", XLOOKUP(A943, Extrato!$D:$D, Extrato!$C:$C, ""), "")</f>
        <v/>
      </c>
      <c r="H943">
        <f>IF(A943="", "", IF(E943="", "Pendente", IF(C943=G943, "OK", "Valor divergente")))</f>
        <v/>
      </c>
    </row>
    <row r="944">
      <c r="A944">
        <f>IF(NF!A942&lt;&gt;"", NF!A942, "")</f>
        <v/>
      </c>
      <c r="B944">
        <f>IF(A944&lt;&gt;"", NF!B942, "")</f>
        <v/>
      </c>
      <c r="C944">
        <f>IF(A944&lt;&gt;"", NF!C942, "")</f>
        <v/>
      </c>
      <c r="D944">
        <f>IF(A944&lt;&gt;"", NF!D942, "")</f>
        <v/>
      </c>
      <c r="E944">
        <f>IF(A944&lt;&gt;"", XLOOKUP(A944, Extrato!$D:$D, Extrato!$A:$A, ""), "")</f>
        <v/>
      </c>
      <c r="F944">
        <f>IF(A944&lt;&gt;"", XLOOKUP(A944, Extrato!$D:$D, Extrato!$B:$B, ""), "")</f>
        <v/>
      </c>
      <c r="G944">
        <f>IF(A944&lt;&gt;"", XLOOKUP(A944, Extrato!$D:$D, Extrato!$C:$C, ""), "")</f>
        <v/>
      </c>
      <c r="H944">
        <f>IF(A944="", "", IF(E944="", "Pendente", IF(C944=G944, "OK", "Valor divergente")))</f>
        <v/>
      </c>
    </row>
    <row r="945">
      <c r="A945">
        <f>IF(NF!A943&lt;&gt;"", NF!A943, "")</f>
        <v/>
      </c>
      <c r="B945">
        <f>IF(A945&lt;&gt;"", NF!B943, "")</f>
        <v/>
      </c>
      <c r="C945">
        <f>IF(A945&lt;&gt;"", NF!C943, "")</f>
        <v/>
      </c>
      <c r="D945">
        <f>IF(A945&lt;&gt;"", NF!D943, "")</f>
        <v/>
      </c>
      <c r="E945">
        <f>IF(A945&lt;&gt;"", XLOOKUP(A945, Extrato!$D:$D, Extrato!$A:$A, ""), "")</f>
        <v/>
      </c>
      <c r="F945">
        <f>IF(A945&lt;&gt;"", XLOOKUP(A945, Extrato!$D:$D, Extrato!$B:$B, ""), "")</f>
        <v/>
      </c>
      <c r="G945">
        <f>IF(A945&lt;&gt;"", XLOOKUP(A945, Extrato!$D:$D, Extrato!$C:$C, ""), "")</f>
        <v/>
      </c>
      <c r="H945">
        <f>IF(A945="", "", IF(E945="", "Pendente", IF(C945=G945, "OK", "Valor divergente")))</f>
        <v/>
      </c>
    </row>
    <row r="946">
      <c r="A946">
        <f>IF(NF!A944&lt;&gt;"", NF!A944, "")</f>
        <v/>
      </c>
      <c r="B946">
        <f>IF(A946&lt;&gt;"", NF!B944, "")</f>
        <v/>
      </c>
      <c r="C946">
        <f>IF(A946&lt;&gt;"", NF!C944, "")</f>
        <v/>
      </c>
      <c r="D946">
        <f>IF(A946&lt;&gt;"", NF!D944, "")</f>
        <v/>
      </c>
      <c r="E946">
        <f>IF(A946&lt;&gt;"", XLOOKUP(A946, Extrato!$D:$D, Extrato!$A:$A, ""), "")</f>
        <v/>
      </c>
      <c r="F946">
        <f>IF(A946&lt;&gt;"", XLOOKUP(A946, Extrato!$D:$D, Extrato!$B:$B, ""), "")</f>
        <v/>
      </c>
      <c r="G946">
        <f>IF(A946&lt;&gt;"", XLOOKUP(A946, Extrato!$D:$D, Extrato!$C:$C, ""), "")</f>
        <v/>
      </c>
      <c r="H946">
        <f>IF(A946="", "", IF(E946="", "Pendente", IF(C946=G946, "OK", "Valor divergente")))</f>
        <v/>
      </c>
    </row>
    <row r="947">
      <c r="A947">
        <f>IF(NF!A945&lt;&gt;"", NF!A945, "")</f>
        <v/>
      </c>
      <c r="B947">
        <f>IF(A947&lt;&gt;"", NF!B945, "")</f>
        <v/>
      </c>
      <c r="C947">
        <f>IF(A947&lt;&gt;"", NF!C945, "")</f>
        <v/>
      </c>
      <c r="D947">
        <f>IF(A947&lt;&gt;"", NF!D945, "")</f>
        <v/>
      </c>
      <c r="E947">
        <f>IF(A947&lt;&gt;"", XLOOKUP(A947, Extrato!$D:$D, Extrato!$A:$A, ""), "")</f>
        <v/>
      </c>
      <c r="F947">
        <f>IF(A947&lt;&gt;"", XLOOKUP(A947, Extrato!$D:$D, Extrato!$B:$B, ""), "")</f>
        <v/>
      </c>
      <c r="G947">
        <f>IF(A947&lt;&gt;"", XLOOKUP(A947, Extrato!$D:$D, Extrato!$C:$C, ""), "")</f>
        <v/>
      </c>
      <c r="H947">
        <f>IF(A947="", "", IF(E947="", "Pendente", IF(C947=G947, "OK", "Valor divergente")))</f>
        <v/>
      </c>
    </row>
    <row r="948">
      <c r="A948">
        <f>IF(NF!A946&lt;&gt;"", NF!A946, "")</f>
        <v/>
      </c>
      <c r="B948">
        <f>IF(A948&lt;&gt;"", NF!B946, "")</f>
        <v/>
      </c>
      <c r="C948">
        <f>IF(A948&lt;&gt;"", NF!C946, "")</f>
        <v/>
      </c>
      <c r="D948">
        <f>IF(A948&lt;&gt;"", NF!D946, "")</f>
        <v/>
      </c>
      <c r="E948">
        <f>IF(A948&lt;&gt;"", XLOOKUP(A948, Extrato!$D:$D, Extrato!$A:$A, ""), "")</f>
        <v/>
      </c>
      <c r="F948">
        <f>IF(A948&lt;&gt;"", XLOOKUP(A948, Extrato!$D:$D, Extrato!$B:$B, ""), "")</f>
        <v/>
      </c>
      <c r="G948">
        <f>IF(A948&lt;&gt;"", XLOOKUP(A948, Extrato!$D:$D, Extrato!$C:$C, ""), "")</f>
        <v/>
      </c>
      <c r="H948">
        <f>IF(A948="", "", IF(E948="", "Pendente", IF(C948=G948, "OK", "Valor divergente")))</f>
        <v/>
      </c>
    </row>
    <row r="949">
      <c r="A949">
        <f>IF(NF!A947&lt;&gt;"", NF!A947, "")</f>
        <v/>
      </c>
      <c r="B949">
        <f>IF(A949&lt;&gt;"", NF!B947, "")</f>
        <v/>
      </c>
      <c r="C949">
        <f>IF(A949&lt;&gt;"", NF!C947, "")</f>
        <v/>
      </c>
      <c r="D949">
        <f>IF(A949&lt;&gt;"", NF!D947, "")</f>
        <v/>
      </c>
      <c r="E949">
        <f>IF(A949&lt;&gt;"", XLOOKUP(A949, Extrato!$D:$D, Extrato!$A:$A, ""), "")</f>
        <v/>
      </c>
      <c r="F949">
        <f>IF(A949&lt;&gt;"", XLOOKUP(A949, Extrato!$D:$D, Extrato!$B:$B, ""), "")</f>
        <v/>
      </c>
      <c r="G949">
        <f>IF(A949&lt;&gt;"", XLOOKUP(A949, Extrato!$D:$D, Extrato!$C:$C, ""), "")</f>
        <v/>
      </c>
      <c r="H949">
        <f>IF(A949="", "", IF(E949="", "Pendente", IF(C949=G949, "OK", "Valor divergente")))</f>
        <v/>
      </c>
    </row>
    <row r="950">
      <c r="A950">
        <f>IF(NF!A948&lt;&gt;"", NF!A948, "")</f>
        <v/>
      </c>
      <c r="B950">
        <f>IF(A950&lt;&gt;"", NF!B948, "")</f>
        <v/>
      </c>
      <c r="C950">
        <f>IF(A950&lt;&gt;"", NF!C948, "")</f>
        <v/>
      </c>
      <c r="D950">
        <f>IF(A950&lt;&gt;"", NF!D948, "")</f>
        <v/>
      </c>
      <c r="E950">
        <f>IF(A950&lt;&gt;"", XLOOKUP(A950, Extrato!$D:$D, Extrato!$A:$A, ""), "")</f>
        <v/>
      </c>
      <c r="F950">
        <f>IF(A950&lt;&gt;"", XLOOKUP(A950, Extrato!$D:$D, Extrato!$B:$B, ""), "")</f>
        <v/>
      </c>
      <c r="G950">
        <f>IF(A950&lt;&gt;"", XLOOKUP(A950, Extrato!$D:$D, Extrato!$C:$C, ""), "")</f>
        <v/>
      </c>
      <c r="H950">
        <f>IF(A950="", "", IF(E950="", "Pendente", IF(C950=G950, "OK", "Valor divergente")))</f>
        <v/>
      </c>
    </row>
    <row r="951">
      <c r="A951">
        <f>IF(NF!A949&lt;&gt;"", NF!A949, "")</f>
        <v/>
      </c>
      <c r="B951">
        <f>IF(A951&lt;&gt;"", NF!B949, "")</f>
        <v/>
      </c>
      <c r="C951">
        <f>IF(A951&lt;&gt;"", NF!C949, "")</f>
        <v/>
      </c>
      <c r="D951">
        <f>IF(A951&lt;&gt;"", NF!D949, "")</f>
        <v/>
      </c>
      <c r="E951">
        <f>IF(A951&lt;&gt;"", XLOOKUP(A951, Extrato!$D:$D, Extrato!$A:$A, ""), "")</f>
        <v/>
      </c>
      <c r="F951">
        <f>IF(A951&lt;&gt;"", XLOOKUP(A951, Extrato!$D:$D, Extrato!$B:$B, ""), "")</f>
        <v/>
      </c>
      <c r="G951">
        <f>IF(A951&lt;&gt;"", XLOOKUP(A951, Extrato!$D:$D, Extrato!$C:$C, ""), "")</f>
        <v/>
      </c>
      <c r="H951">
        <f>IF(A951="", "", IF(E951="", "Pendente", IF(C951=G951, "OK", "Valor divergente")))</f>
        <v/>
      </c>
    </row>
    <row r="952">
      <c r="A952">
        <f>IF(NF!A950&lt;&gt;"", NF!A950, "")</f>
        <v/>
      </c>
      <c r="B952">
        <f>IF(A952&lt;&gt;"", NF!B950, "")</f>
        <v/>
      </c>
      <c r="C952">
        <f>IF(A952&lt;&gt;"", NF!C950, "")</f>
        <v/>
      </c>
      <c r="D952">
        <f>IF(A952&lt;&gt;"", NF!D950, "")</f>
        <v/>
      </c>
      <c r="E952">
        <f>IF(A952&lt;&gt;"", XLOOKUP(A952, Extrato!$D:$D, Extrato!$A:$A, ""), "")</f>
        <v/>
      </c>
      <c r="F952">
        <f>IF(A952&lt;&gt;"", XLOOKUP(A952, Extrato!$D:$D, Extrato!$B:$B, ""), "")</f>
        <v/>
      </c>
      <c r="G952">
        <f>IF(A952&lt;&gt;"", XLOOKUP(A952, Extrato!$D:$D, Extrato!$C:$C, ""), "")</f>
        <v/>
      </c>
      <c r="H952">
        <f>IF(A952="", "", IF(E952="", "Pendente", IF(C952=G952, "OK", "Valor divergente")))</f>
        <v/>
      </c>
    </row>
    <row r="953">
      <c r="A953">
        <f>IF(NF!A951&lt;&gt;"", NF!A951, "")</f>
        <v/>
      </c>
      <c r="B953">
        <f>IF(A953&lt;&gt;"", NF!B951, "")</f>
        <v/>
      </c>
      <c r="C953">
        <f>IF(A953&lt;&gt;"", NF!C951, "")</f>
        <v/>
      </c>
      <c r="D953">
        <f>IF(A953&lt;&gt;"", NF!D951, "")</f>
        <v/>
      </c>
      <c r="E953">
        <f>IF(A953&lt;&gt;"", XLOOKUP(A953, Extrato!$D:$D, Extrato!$A:$A, ""), "")</f>
        <v/>
      </c>
      <c r="F953">
        <f>IF(A953&lt;&gt;"", XLOOKUP(A953, Extrato!$D:$D, Extrato!$B:$B, ""), "")</f>
        <v/>
      </c>
      <c r="G953">
        <f>IF(A953&lt;&gt;"", XLOOKUP(A953, Extrato!$D:$D, Extrato!$C:$C, ""), "")</f>
        <v/>
      </c>
      <c r="H953">
        <f>IF(A953="", "", IF(E953="", "Pendente", IF(C953=G953, "OK", "Valor divergente")))</f>
        <v/>
      </c>
    </row>
    <row r="954">
      <c r="A954">
        <f>IF(NF!A952&lt;&gt;"", NF!A952, "")</f>
        <v/>
      </c>
      <c r="B954">
        <f>IF(A954&lt;&gt;"", NF!B952, "")</f>
        <v/>
      </c>
      <c r="C954">
        <f>IF(A954&lt;&gt;"", NF!C952, "")</f>
        <v/>
      </c>
      <c r="D954">
        <f>IF(A954&lt;&gt;"", NF!D952, "")</f>
        <v/>
      </c>
      <c r="E954">
        <f>IF(A954&lt;&gt;"", XLOOKUP(A954, Extrato!$D:$D, Extrato!$A:$A, ""), "")</f>
        <v/>
      </c>
      <c r="F954">
        <f>IF(A954&lt;&gt;"", XLOOKUP(A954, Extrato!$D:$D, Extrato!$B:$B, ""), "")</f>
        <v/>
      </c>
      <c r="G954">
        <f>IF(A954&lt;&gt;"", XLOOKUP(A954, Extrato!$D:$D, Extrato!$C:$C, ""), "")</f>
        <v/>
      </c>
      <c r="H954">
        <f>IF(A954="", "", IF(E954="", "Pendente", IF(C954=G954, "OK", "Valor divergente")))</f>
        <v/>
      </c>
    </row>
    <row r="955">
      <c r="A955">
        <f>IF(NF!A953&lt;&gt;"", NF!A953, "")</f>
        <v/>
      </c>
      <c r="B955">
        <f>IF(A955&lt;&gt;"", NF!B953, "")</f>
        <v/>
      </c>
      <c r="C955">
        <f>IF(A955&lt;&gt;"", NF!C953, "")</f>
        <v/>
      </c>
      <c r="D955">
        <f>IF(A955&lt;&gt;"", NF!D953, "")</f>
        <v/>
      </c>
      <c r="E955">
        <f>IF(A955&lt;&gt;"", XLOOKUP(A955, Extrato!$D:$D, Extrato!$A:$A, ""), "")</f>
        <v/>
      </c>
      <c r="F955">
        <f>IF(A955&lt;&gt;"", XLOOKUP(A955, Extrato!$D:$D, Extrato!$B:$B, ""), "")</f>
        <v/>
      </c>
      <c r="G955">
        <f>IF(A955&lt;&gt;"", XLOOKUP(A955, Extrato!$D:$D, Extrato!$C:$C, ""), "")</f>
        <v/>
      </c>
      <c r="H955">
        <f>IF(A955="", "", IF(E955="", "Pendente", IF(C955=G955, "OK", "Valor divergente")))</f>
        <v/>
      </c>
    </row>
    <row r="956">
      <c r="A956">
        <f>IF(NF!A954&lt;&gt;"", NF!A954, "")</f>
        <v/>
      </c>
      <c r="B956">
        <f>IF(A956&lt;&gt;"", NF!B954, "")</f>
        <v/>
      </c>
      <c r="C956">
        <f>IF(A956&lt;&gt;"", NF!C954, "")</f>
        <v/>
      </c>
      <c r="D956">
        <f>IF(A956&lt;&gt;"", NF!D954, "")</f>
        <v/>
      </c>
      <c r="E956">
        <f>IF(A956&lt;&gt;"", XLOOKUP(A956, Extrato!$D:$D, Extrato!$A:$A, ""), "")</f>
        <v/>
      </c>
      <c r="F956">
        <f>IF(A956&lt;&gt;"", XLOOKUP(A956, Extrato!$D:$D, Extrato!$B:$B, ""), "")</f>
        <v/>
      </c>
      <c r="G956">
        <f>IF(A956&lt;&gt;"", XLOOKUP(A956, Extrato!$D:$D, Extrato!$C:$C, ""), "")</f>
        <v/>
      </c>
      <c r="H956">
        <f>IF(A956="", "", IF(E956="", "Pendente", IF(C956=G956, "OK", "Valor divergente")))</f>
        <v/>
      </c>
    </row>
    <row r="957">
      <c r="A957">
        <f>IF(NF!A955&lt;&gt;"", NF!A955, "")</f>
        <v/>
      </c>
      <c r="B957">
        <f>IF(A957&lt;&gt;"", NF!B955, "")</f>
        <v/>
      </c>
      <c r="C957">
        <f>IF(A957&lt;&gt;"", NF!C955, "")</f>
        <v/>
      </c>
      <c r="D957">
        <f>IF(A957&lt;&gt;"", NF!D955, "")</f>
        <v/>
      </c>
      <c r="E957">
        <f>IF(A957&lt;&gt;"", XLOOKUP(A957, Extrato!$D:$D, Extrato!$A:$A, ""), "")</f>
        <v/>
      </c>
      <c r="F957">
        <f>IF(A957&lt;&gt;"", XLOOKUP(A957, Extrato!$D:$D, Extrato!$B:$B, ""), "")</f>
        <v/>
      </c>
      <c r="G957">
        <f>IF(A957&lt;&gt;"", XLOOKUP(A957, Extrato!$D:$D, Extrato!$C:$C, ""), "")</f>
        <v/>
      </c>
      <c r="H957">
        <f>IF(A957="", "", IF(E957="", "Pendente", IF(C957=G957, "OK", "Valor divergente")))</f>
        <v/>
      </c>
    </row>
    <row r="958">
      <c r="A958">
        <f>IF(NF!A956&lt;&gt;"", NF!A956, "")</f>
        <v/>
      </c>
      <c r="B958">
        <f>IF(A958&lt;&gt;"", NF!B956, "")</f>
        <v/>
      </c>
      <c r="C958">
        <f>IF(A958&lt;&gt;"", NF!C956, "")</f>
        <v/>
      </c>
      <c r="D958">
        <f>IF(A958&lt;&gt;"", NF!D956, "")</f>
        <v/>
      </c>
      <c r="E958">
        <f>IF(A958&lt;&gt;"", XLOOKUP(A958, Extrato!$D:$D, Extrato!$A:$A, ""), "")</f>
        <v/>
      </c>
      <c r="F958">
        <f>IF(A958&lt;&gt;"", XLOOKUP(A958, Extrato!$D:$D, Extrato!$B:$B, ""), "")</f>
        <v/>
      </c>
      <c r="G958">
        <f>IF(A958&lt;&gt;"", XLOOKUP(A958, Extrato!$D:$D, Extrato!$C:$C, ""), "")</f>
        <v/>
      </c>
      <c r="H958">
        <f>IF(A958="", "", IF(E958="", "Pendente", IF(C958=G958, "OK", "Valor divergente")))</f>
        <v/>
      </c>
    </row>
    <row r="959">
      <c r="A959">
        <f>IF(NF!A957&lt;&gt;"", NF!A957, "")</f>
        <v/>
      </c>
      <c r="B959">
        <f>IF(A959&lt;&gt;"", NF!B957, "")</f>
        <v/>
      </c>
      <c r="C959">
        <f>IF(A959&lt;&gt;"", NF!C957, "")</f>
        <v/>
      </c>
      <c r="D959">
        <f>IF(A959&lt;&gt;"", NF!D957, "")</f>
        <v/>
      </c>
      <c r="E959">
        <f>IF(A959&lt;&gt;"", XLOOKUP(A959, Extrato!$D:$D, Extrato!$A:$A, ""), "")</f>
        <v/>
      </c>
      <c r="F959">
        <f>IF(A959&lt;&gt;"", XLOOKUP(A959, Extrato!$D:$D, Extrato!$B:$B, ""), "")</f>
        <v/>
      </c>
      <c r="G959">
        <f>IF(A959&lt;&gt;"", XLOOKUP(A959, Extrato!$D:$D, Extrato!$C:$C, ""), "")</f>
        <v/>
      </c>
      <c r="H959">
        <f>IF(A959="", "", IF(E959="", "Pendente", IF(C959=G959, "OK", "Valor divergente")))</f>
        <v/>
      </c>
    </row>
    <row r="960">
      <c r="A960">
        <f>IF(NF!A958&lt;&gt;"", NF!A958, "")</f>
        <v/>
      </c>
      <c r="B960">
        <f>IF(A960&lt;&gt;"", NF!B958, "")</f>
        <v/>
      </c>
      <c r="C960">
        <f>IF(A960&lt;&gt;"", NF!C958, "")</f>
        <v/>
      </c>
      <c r="D960">
        <f>IF(A960&lt;&gt;"", NF!D958, "")</f>
        <v/>
      </c>
      <c r="E960">
        <f>IF(A960&lt;&gt;"", XLOOKUP(A960, Extrato!$D:$D, Extrato!$A:$A, ""), "")</f>
        <v/>
      </c>
      <c r="F960">
        <f>IF(A960&lt;&gt;"", XLOOKUP(A960, Extrato!$D:$D, Extrato!$B:$B, ""), "")</f>
        <v/>
      </c>
      <c r="G960">
        <f>IF(A960&lt;&gt;"", XLOOKUP(A960, Extrato!$D:$D, Extrato!$C:$C, ""), "")</f>
        <v/>
      </c>
      <c r="H960">
        <f>IF(A960="", "", IF(E960="", "Pendente", IF(C960=G960, "OK", "Valor divergente")))</f>
        <v/>
      </c>
    </row>
    <row r="961">
      <c r="A961">
        <f>IF(NF!A959&lt;&gt;"", NF!A959, "")</f>
        <v/>
      </c>
      <c r="B961">
        <f>IF(A961&lt;&gt;"", NF!B959, "")</f>
        <v/>
      </c>
      <c r="C961">
        <f>IF(A961&lt;&gt;"", NF!C959, "")</f>
        <v/>
      </c>
      <c r="D961">
        <f>IF(A961&lt;&gt;"", NF!D959, "")</f>
        <v/>
      </c>
      <c r="E961">
        <f>IF(A961&lt;&gt;"", XLOOKUP(A961, Extrato!$D:$D, Extrato!$A:$A, ""), "")</f>
        <v/>
      </c>
      <c r="F961">
        <f>IF(A961&lt;&gt;"", XLOOKUP(A961, Extrato!$D:$D, Extrato!$B:$B, ""), "")</f>
        <v/>
      </c>
      <c r="G961">
        <f>IF(A961&lt;&gt;"", XLOOKUP(A961, Extrato!$D:$D, Extrato!$C:$C, ""), "")</f>
        <v/>
      </c>
      <c r="H961">
        <f>IF(A961="", "", IF(E961="", "Pendente", IF(C961=G961, "OK", "Valor divergente")))</f>
        <v/>
      </c>
    </row>
    <row r="962">
      <c r="A962">
        <f>IF(NF!A960&lt;&gt;"", NF!A960, "")</f>
        <v/>
      </c>
      <c r="B962">
        <f>IF(A962&lt;&gt;"", NF!B960, "")</f>
        <v/>
      </c>
      <c r="C962">
        <f>IF(A962&lt;&gt;"", NF!C960, "")</f>
        <v/>
      </c>
      <c r="D962">
        <f>IF(A962&lt;&gt;"", NF!D960, "")</f>
        <v/>
      </c>
      <c r="E962">
        <f>IF(A962&lt;&gt;"", XLOOKUP(A962, Extrato!$D:$D, Extrato!$A:$A, ""), "")</f>
        <v/>
      </c>
      <c r="F962">
        <f>IF(A962&lt;&gt;"", XLOOKUP(A962, Extrato!$D:$D, Extrato!$B:$B, ""), "")</f>
        <v/>
      </c>
      <c r="G962">
        <f>IF(A962&lt;&gt;"", XLOOKUP(A962, Extrato!$D:$D, Extrato!$C:$C, ""), "")</f>
        <v/>
      </c>
      <c r="H962">
        <f>IF(A962="", "", IF(E962="", "Pendente", IF(C962=G962, "OK", "Valor divergente")))</f>
        <v/>
      </c>
    </row>
    <row r="963">
      <c r="A963">
        <f>IF(NF!A961&lt;&gt;"", NF!A961, "")</f>
        <v/>
      </c>
      <c r="B963">
        <f>IF(A963&lt;&gt;"", NF!B961, "")</f>
        <v/>
      </c>
      <c r="C963">
        <f>IF(A963&lt;&gt;"", NF!C961, "")</f>
        <v/>
      </c>
      <c r="D963">
        <f>IF(A963&lt;&gt;"", NF!D961, "")</f>
        <v/>
      </c>
      <c r="E963">
        <f>IF(A963&lt;&gt;"", XLOOKUP(A963, Extrato!$D:$D, Extrato!$A:$A, ""), "")</f>
        <v/>
      </c>
      <c r="F963">
        <f>IF(A963&lt;&gt;"", XLOOKUP(A963, Extrato!$D:$D, Extrato!$B:$B, ""), "")</f>
        <v/>
      </c>
      <c r="G963">
        <f>IF(A963&lt;&gt;"", XLOOKUP(A963, Extrato!$D:$D, Extrato!$C:$C, ""), "")</f>
        <v/>
      </c>
      <c r="H963">
        <f>IF(A963="", "", IF(E963="", "Pendente", IF(C963=G963, "OK", "Valor divergente")))</f>
        <v/>
      </c>
    </row>
    <row r="964">
      <c r="A964">
        <f>IF(NF!A962&lt;&gt;"", NF!A962, "")</f>
        <v/>
      </c>
      <c r="B964">
        <f>IF(A964&lt;&gt;"", NF!B962, "")</f>
        <v/>
      </c>
      <c r="C964">
        <f>IF(A964&lt;&gt;"", NF!C962, "")</f>
        <v/>
      </c>
      <c r="D964">
        <f>IF(A964&lt;&gt;"", NF!D962, "")</f>
        <v/>
      </c>
      <c r="E964">
        <f>IF(A964&lt;&gt;"", XLOOKUP(A964, Extrato!$D:$D, Extrato!$A:$A, ""), "")</f>
        <v/>
      </c>
      <c r="F964">
        <f>IF(A964&lt;&gt;"", XLOOKUP(A964, Extrato!$D:$D, Extrato!$B:$B, ""), "")</f>
        <v/>
      </c>
      <c r="G964">
        <f>IF(A964&lt;&gt;"", XLOOKUP(A964, Extrato!$D:$D, Extrato!$C:$C, ""), "")</f>
        <v/>
      </c>
      <c r="H964">
        <f>IF(A964="", "", IF(E964="", "Pendente", IF(C964=G964, "OK", "Valor divergente")))</f>
        <v/>
      </c>
    </row>
    <row r="965">
      <c r="A965">
        <f>IF(NF!A963&lt;&gt;"", NF!A963, "")</f>
        <v/>
      </c>
      <c r="B965">
        <f>IF(A965&lt;&gt;"", NF!B963, "")</f>
        <v/>
      </c>
      <c r="C965">
        <f>IF(A965&lt;&gt;"", NF!C963, "")</f>
        <v/>
      </c>
      <c r="D965">
        <f>IF(A965&lt;&gt;"", NF!D963, "")</f>
        <v/>
      </c>
      <c r="E965">
        <f>IF(A965&lt;&gt;"", XLOOKUP(A965, Extrato!$D:$D, Extrato!$A:$A, ""), "")</f>
        <v/>
      </c>
      <c r="F965">
        <f>IF(A965&lt;&gt;"", XLOOKUP(A965, Extrato!$D:$D, Extrato!$B:$B, ""), "")</f>
        <v/>
      </c>
      <c r="G965">
        <f>IF(A965&lt;&gt;"", XLOOKUP(A965, Extrato!$D:$D, Extrato!$C:$C, ""), "")</f>
        <v/>
      </c>
      <c r="H965">
        <f>IF(A965="", "", IF(E965="", "Pendente", IF(C965=G965, "OK", "Valor divergente")))</f>
        <v/>
      </c>
    </row>
    <row r="966">
      <c r="A966">
        <f>IF(NF!A964&lt;&gt;"", NF!A964, "")</f>
        <v/>
      </c>
      <c r="B966">
        <f>IF(A966&lt;&gt;"", NF!B964, "")</f>
        <v/>
      </c>
      <c r="C966">
        <f>IF(A966&lt;&gt;"", NF!C964, "")</f>
        <v/>
      </c>
      <c r="D966">
        <f>IF(A966&lt;&gt;"", NF!D964, "")</f>
        <v/>
      </c>
      <c r="E966">
        <f>IF(A966&lt;&gt;"", XLOOKUP(A966, Extrato!$D:$D, Extrato!$A:$A, ""), "")</f>
        <v/>
      </c>
      <c r="F966">
        <f>IF(A966&lt;&gt;"", XLOOKUP(A966, Extrato!$D:$D, Extrato!$B:$B, ""), "")</f>
        <v/>
      </c>
      <c r="G966">
        <f>IF(A966&lt;&gt;"", XLOOKUP(A966, Extrato!$D:$D, Extrato!$C:$C, ""), "")</f>
        <v/>
      </c>
      <c r="H966">
        <f>IF(A966="", "", IF(E966="", "Pendente", IF(C966=G966, "OK", "Valor divergente")))</f>
        <v/>
      </c>
    </row>
    <row r="967">
      <c r="A967">
        <f>IF(NF!A965&lt;&gt;"", NF!A965, "")</f>
        <v/>
      </c>
      <c r="B967">
        <f>IF(A967&lt;&gt;"", NF!B965, "")</f>
        <v/>
      </c>
      <c r="C967">
        <f>IF(A967&lt;&gt;"", NF!C965, "")</f>
        <v/>
      </c>
      <c r="D967">
        <f>IF(A967&lt;&gt;"", NF!D965, "")</f>
        <v/>
      </c>
      <c r="E967">
        <f>IF(A967&lt;&gt;"", XLOOKUP(A967, Extrato!$D:$D, Extrato!$A:$A, ""), "")</f>
        <v/>
      </c>
      <c r="F967">
        <f>IF(A967&lt;&gt;"", XLOOKUP(A967, Extrato!$D:$D, Extrato!$B:$B, ""), "")</f>
        <v/>
      </c>
      <c r="G967">
        <f>IF(A967&lt;&gt;"", XLOOKUP(A967, Extrato!$D:$D, Extrato!$C:$C, ""), "")</f>
        <v/>
      </c>
      <c r="H967">
        <f>IF(A967="", "", IF(E967="", "Pendente", IF(C967=G967, "OK", "Valor divergente")))</f>
        <v/>
      </c>
    </row>
    <row r="968">
      <c r="A968">
        <f>IF(NF!A966&lt;&gt;"", NF!A966, "")</f>
        <v/>
      </c>
      <c r="B968">
        <f>IF(A968&lt;&gt;"", NF!B966, "")</f>
        <v/>
      </c>
      <c r="C968">
        <f>IF(A968&lt;&gt;"", NF!C966, "")</f>
        <v/>
      </c>
      <c r="D968">
        <f>IF(A968&lt;&gt;"", NF!D966, "")</f>
        <v/>
      </c>
      <c r="E968">
        <f>IF(A968&lt;&gt;"", XLOOKUP(A968, Extrato!$D:$D, Extrato!$A:$A, ""), "")</f>
        <v/>
      </c>
      <c r="F968">
        <f>IF(A968&lt;&gt;"", XLOOKUP(A968, Extrato!$D:$D, Extrato!$B:$B, ""), "")</f>
        <v/>
      </c>
      <c r="G968">
        <f>IF(A968&lt;&gt;"", XLOOKUP(A968, Extrato!$D:$D, Extrato!$C:$C, ""), "")</f>
        <v/>
      </c>
      <c r="H968">
        <f>IF(A968="", "", IF(E968="", "Pendente", IF(C968=G968, "OK", "Valor divergente")))</f>
        <v/>
      </c>
    </row>
    <row r="969">
      <c r="A969">
        <f>IF(NF!A967&lt;&gt;"", NF!A967, "")</f>
        <v/>
      </c>
      <c r="B969">
        <f>IF(A969&lt;&gt;"", NF!B967, "")</f>
        <v/>
      </c>
      <c r="C969">
        <f>IF(A969&lt;&gt;"", NF!C967, "")</f>
        <v/>
      </c>
      <c r="D969">
        <f>IF(A969&lt;&gt;"", NF!D967, "")</f>
        <v/>
      </c>
      <c r="E969">
        <f>IF(A969&lt;&gt;"", XLOOKUP(A969, Extrato!$D:$D, Extrato!$A:$A, ""), "")</f>
        <v/>
      </c>
      <c r="F969">
        <f>IF(A969&lt;&gt;"", XLOOKUP(A969, Extrato!$D:$D, Extrato!$B:$B, ""), "")</f>
        <v/>
      </c>
      <c r="G969">
        <f>IF(A969&lt;&gt;"", XLOOKUP(A969, Extrato!$D:$D, Extrato!$C:$C, ""), "")</f>
        <v/>
      </c>
      <c r="H969">
        <f>IF(A969="", "", IF(E969="", "Pendente", IF(C969=G969, "OK", "Valor divergente")))</f>
        <v/>
      </c>
    </row>
    <row r="970">
      <c r="A970">
        <f>IF(NF!A968&lt;&gt;"", NF!A968, "")</f>
        <v/>
      </c>
      <c r="B970">
        <f>IF(A970&lt;&gt;"", NF!B968, "")</f>
        <v/>
      </c>
      <c r="C970">
        <f>IF(A970&lt;&gt;"", NF!C968, "")</f>
        <v/>
      </c>
      <c r="D970">
        <f>IF(A970&lt;&gt;"", NF!D968, "")</f>
        <v/>
      </c>
      <c r="E970">
        <f>IF(A970&lt;&gt;"", XLOOKUP(A970, Extrato!$D:$D, Extrato!$A:$A, ""), "")</f>
        <v/>
      </c>
      <c r="F970">
        <f>IF(A970&lt;&gt;"", XLOOKUP(A970, Extrato!$D:$D, Extrato!$B:$B, ""), "")</f>
        <v/>
      </c>
      <c r="G970">
        <f>IF(A970&lt;&gt;"", XLOOKUP(A970, Extrato!$D:$D, Extrato!$C:$C, ""), "")</f>
        <v/>
      </c>
      <c r="H970">
        <f>IF(A970="", "", IF(E970="", "Pendente", IF(C970=G970, "OK", "Valor divergente")))</f>
        <v/>
      </c>
    </row>
    <row r="971">
      <c r="A971">
        <f>IF(NF!A969&lt;&gt;"", NF!A969, "")</f>
        <v/>
      </c>
      <c r="B971">
        <f>IF(A971&lt;&gt;"", NF!B969, "")</f>
        <v/>
      </c>
      <c r="C971">
        <f>IF(A971&lt;&gt;"", NF!C969, "")</f>
        <v/>
      </c>
      <c r="D971">
        <f>IF(A971&lt;&gt;"", NF!D969, "")</f>
        <v/>
      </c>
      <c r="E971">
        <f>IF(A971&lt;&gt;"", XLOOKUP(A971, Extrato!$D:$D, Extrato!$A:$A, ""), "")</f>
        <v/>
      </c>
      <c r="F971">
        <f>IF(A971&lt;&gt;"", XLOOKUP(A971, Extrato!$D:$D, Extrato!$B:$B, ""), "")</f>
        <v/>
      </c>
      <c r="G971">
        <f>IF(A971&lt;&gt;"", XLOOKUP(A971, Extrato!$D:$D, Extrato!$C:$C, ""), "")</f>
        <v/>
      </c>
      <c r="H971">
        <f>IF(A971="", "", IF(E971="", "Pendente", IF(C971=G971, "OK", "Valor divergente")))</f>
        <v/>
      </c>
    </row>
    <row r="972">
      <c r="A972">
        <f>IF(NF!A970&lt;&gt;"", NF!A970, "")</f>
        <v/>
      </c>
      <c r="B972">
        <f>IF(A972&lt;&gt;"", NF!B970, "")</f>
        <v/>
      </c>
      <c r="C972">
        <f>IF(A972&lt;&gt;"", NF!C970, "")</f>
        <v/>
      </c>
      <c r="D972">
        <f>IF(A972&lt;&gt;"", NF!D970, "")</f>
        <v/>
      </c>
      <c r="E972">
        <f>IF(A972&lt;&gt;"", XLOOKUP(A972, Extrato!$D:$D, Extrato!$A:$A, ""), "")</f>
        <v/>
      </c>
      <c r="F972">
        <f>IF(A972&lt;&gt;"", XLOOKUP(A972, Extrato!$D:$D, Extrato!$B:$B, ""), "")</f>
        <v/>
      </c>
      <c r="G972">
        <f>IF(A972&lt;&gt;"", XLOOKUP(A972, Extrato!$D:$D, Extrato!$C:$C, ""), "")</f>
        <v/>
      </c>
      <c r="H972">
        <f>IF(A972="", "", IF(E972="", "Pendente", IF(C972=G972, "OK", "Valor divergente")))</f>
        <v/>
      </c>
    </row>
    <row r="973">
      <c r="A973">
        <f>IF(NF!A971&lt;&gt;"", NF!A971, "")</f>
        <v/>
      </c>
      <c r="B973">
        <f>IF(A973&lt;&gt;"", NF!B971, "")</f>
        <v/>
      </c>
      <c r="C973">
        <f>IF(A973&lt;&gt;"", NF!C971, "")</f>
        <v/>
      </c>
      <c r="D973">
        <f>IF(A973&lt;&gt;"", NF!D971, "")</f>
        <v/>
      </c>
      <c r="E973">
        <f>IF(A973&lt;&gt;"", XLOOKUP(A973, Extrato!$D:$D, Extrato!$A:$A, ""), "")</f>
        <v/>
      </c>
      <c r="F973">
        <f>IF(A973&lt;&gt;"", XLOOKUP(A973, Extrato!$D:$D, Extrato!$B:$B, ""), "")</f>
        <v/>
      </c>
      <c r="G973">
        <f>IF(A973&lt;&gt;"", XLOOKUP(A973, Extrato!$D:$D, Extrato!$C:$C, ""), "")</f>
        <v/>
      </c>
      <c r="H973">
        <f>IF(A973="", "", IF(E973="", "Pendente", IF(C973=G973, "OK", "Valor divergente")))</f>
        <v/>
      </c>
    </row>
    <row r="974">
      <c r="A974">
        <f>IF(NF!A972&lt;&gt;"", NF!A972, "")</f>
        <v/>
      </c>
      <c r="B974">
        <f>IF(A974&lt;&gt;"", NF!B972, "")</f>
        <v/>
      </c>
      <c r="C974">
        <f>IF(A974&lt;&gt;"", NF!C972, "")</f>
        <v/>
      </c>
      <c r="D974">
        <f>IF(A974&lt;&gt;"", NF!D972, "")</f>
        <v/>
      </c>
      <c r="E974">
        <f>IF(A974&lt;&gt;"", XLOOKUP(A974, Extrato!$D:$D, Extrato!$A:$A, ""), "")</f>
        <v/>
      </c>
      <c r="F974">
        <f>IF(A974&lt;&gt;"", XLOOKUP(A974, Extrato!$D:$D, Extrato!$B:$B, ""), "")</f>
        <v/>
      </c>
      <c r="G974">
        <f>IF(A974&lt;&gt;"", XLOOKUP(A974, Extrato!$D:$D, Extrato!$C:$C, ""), "")</f>
        <v/>
      </c>
      <c r="H974">
        <f>IF(A974="", "", IF(E974="", "Pendente", IF(C974=G974, "OK", "Valor divergente")))</f>
        <v/>
      </c>
    </row>
    <row r="975">
      <c r="A975">
        <f>IF(NF!A973&lt;&gt;"", NF!A973, "")</f>
        <v/>
      </c>
      <c r="B975">
        <f>IF(A975&lt;&gt;"", NF!B973, "")</f>
        <v/>
      </c>
      <c r="C975">
        <f>IF(A975&lt;&gt;"", NF!C973, "")</f>
        <v/>
      </c>
      <c r="D975">
        <f>IF(A975&lt;&gt;"", NF!D973, "")</f>
        <v/>
      </c>
      <c r="E975">
        <f>IF(A975&lt;&gt;"", XLOOKUP(A975, Extrato!$D:$D, Extrato!$A:$A, ""), "")</f>
        <v/>
      </c>
      <c r="F975">
        <f>IF(A975&lt;&gt;"", XLOOKUP(A975, Extrato!$D:$D, Extrato!$B:$B, ""), "")</f>
        <v/>
      </c>
      <c r="G975">
        <f>IF(A975&lt;&gt;"", XLOOKUP(A975, Extrato!$D:$D, Extrato!$C:$C, ""), "")</f>
        <v/>
      </c>
      <c r="H975">
        <f>IF(A975="", "", IF(E975="", "Pendente", IF(C975=G975, "OK", "Valor divergente")))</f>
        <v/>
      </c>
    </row>
    <row r="976">
      <c r="A976">
        <f>IF(NF!A974&lt;&gt;"", NF!A974, "")</f>
        <v/>
      </c>
      <c r="B976">
        <f>IF(A976&lt;&gt;"", NF!B974, "")</f>
        <v/>
      </c>
      <c r="C976">
        <f>IF(A976&lt;&gt;"", NF!C974, "")</f>
        <v/>
      </c>
      <c r="D976">
        <f>IF(A976&lt;&gt;"", NF!D974, "")</f>
        <v/>
      </c>
      <c r="E976">
        <f>IF(A976&lt;&gt;"", XLOOKUP(A976, Extrato!$D:$D, Extrato!$A:$A, ""), "")</f>
        <v/>
      </c>
      <c r="F976">
        <f>IF(A976&lt;&gt;"", XLOOKUP(A976, Extrato!$D:$D, Extrato!$B:$B, ""), "")</f>
        <v/>
      </c>
      <c r="G976">
        <f>IF(A976&lt;&gt;"", XLOOKUP(A976, Extrato!$D:$D, Extrato!$C:$C, ""), "")</f>
        <v/>
      </c>
      <c r="H976">
        <f>IF(A976="", "", IF(E976="", "Pendente", IF(C976=G976, "OK", "Valor divergente")))</f>
        <v/>
      </c>
    </row>
    <row r="977">
      <c r="A977">
        <f>IF(NF!A975&lt;&gt;"", NF!A975, "")</f>
        <v/>
      </c>
      <c r="B977">
        <f>IF(A977&lt;&gt;"", NF!B975, "")</f>
        <v/>
      </c>
      <c r="C977">
        <f>IF(A977&lt;&gt;"", NF!C975, "")</f>
        <v/>
      </c>
      <c r="D977">
        <f>IF(A977&lt;&gt;"", NF!D975, "")</f>
        <v/>
      </c>
      <c r="E977">
        <f>IF(A977&lt;&gt;"", XLOOKUP(A977, Extrato!$D:$D, Extrato!$A:$A, ""), "")</f>
        <v/>
      </c>
      <c r="F977">
        <f>IF(A977&lt;&gt;"", XLOOKUP(A977, Extrato!$D:$D, Extrato!$B:$B, ""), "")</f>
        <v/>
      </c>
      <c r="G977">
        <f>IF(A977&lt;&gt;"", XLOOKUP(A977, Extrato!$D:$D, Extrato!$C:$C, ""), "")</f>
        <v/>
      </c>
      <c r="H977">
        <f>IF(A977="", "", IF(E977="", "Pendente", IF(C977=G977, "OK", "Valor divergente")))</f>
        <v/>
      </c>
    </row>
    <row r="978">
      <c r="A978">
        <f>IF(NF!A976&lt;&gt;"", NF!A976, "")</f>
        <v/>
      </c>
      <c r="B978">
        <f>IF(A978&lt;&gt;"", NF!B976, "")</f>
        <v/>
      </c>
      <c r="C978">
        <f>IF(A978&lt;&gt;"", NF!C976, "")</f>
        <v/>
      </c>
      <c r="D978">
        <f>IF(A978&lt;&gt;"", NF!D976, "")</f>
        <v/>
      </c>
      <c r="E978">
        <f>IF(A978&lt;&gt;"", XLOOKUP(A978, Extrato!$D:$D, Extrato!$A:$A, ""), "")</f>
        <v/>
      </c>
      <c r="F978">
        <f>IF(A978&lt;&gt;"", XLOOKUP(A978, Extrato!$D:$D, Extrato!$B:$B, ""), "")</f>
        <v/>
      </c>
      <c r="G978">
        <f>IF(A978&lt;&gt;"", XLOOKUP(A978, Extrato!$D:$D, Extrato!$C:$C, ""), "")</f>
        <v/>
      </c>
      <c r="H978">
        <f>IF(A978="", "", IF(E978="", "Pendente", IF(C978=G978, "OK", "Valor divergente")))</f>
        <v/>
      </c>
    </row>
    <row r="979">
      <c r="A979">
        <f>IF(NF!A977&lt;&gt;"", NF!A977, "")</f>
        <v/>
      </c>
      <c r="B979">
        <f>IF(A979&lt;&gt;"", NF!B977, "")</f>
        <v/>
      </c>
      <c r="C979">
        <f>IF(A979&lt;&gt;"", NF!C977, "")</f>
        <v/>
      </c>
      <c r="D979">
        <f>IF(A979&lt;&gt;"", NF!D977, "")</f>
        <v/>
      </c>
      <c r="E979">
        <f>IF(A979&lt;&gt;"", XLOOKUP(A979, Extrato!$D:$D, Extrato!$A:$A, ""), "")</f>
        <v/>
      </c>
      <c r="F979">
        <f>IF(A979&lt;&gt;"", XLOOKUP(A979, Extrato!$D:$D, Extrato!$B:$B, ""), "")</f>
        <v/>
      </c>
      <c r="G979">
        <f>IF(A979&lt;&gt;"", XLOOKUP(A979, Extrato!$D:$D, Extrato!$C:$C, ""), "")</f>
        <v/>
      </c>
      <c r="H979">
        <f>IF(A979="", "", IF(E979="", "Pendente", IF(C979=G979, "OK", "Valor divergente")))</f>
        <v/>
      </c>
    </row>
    <row r="980">
      <c r="A980">
        <f>IF(NF!A978&lt;&gt;"", NF!A978, "")</f>
        <v/>
      </c>
      <c r="B980">
        <f>IF(A980&lt;&gt;"", NF!B978, "")</f>
        <v/>
      </c>
      <c r="C980">
        <f>IF(A980&lt;&gt;"", NF!C978, "")</f>
        <v/>
      </c>
      <c r="D980">
        <f>IF(A980&lt;&gt;"", NF!D978, "")</f>
        <v/>
      </c>
      <c r="E980">
        <f>IF(A980&lt;&gt;"", XLOOKUP(A980, Extrato!$D:$D, Extrato!$A:$A, ""), "")</f>
        <v/>
      </c>
      <c r="F980">
        <f>IF(A980&lt;&gt;"", XLOOKUP(A980, Extrato!$D:$D, Extrato!$B:$B, ""), "")</f>
        <v/>
      </c>
      <c r="G980">
        <f>IF(A980&lt;&gt;"", XLOOKUP(A980, Extrato!$D:$D, Extrato!$C:$C, ""), "")</f>
        <v/>
      </c>
      <c r="H980">
        <f>IF(A980="", "", IF(E980="", "Pendente", IF(C980=G980, "OK", "Valor divergente")))</f>
        <v/>
      </c>
    </row>
    <row r="981">
      <c r="A981">
        <f>IF(NF!A979&lt;&gt;"", NF!A979, "")</f>
        <v/>
      </c>
      <c r="B981">
        <f>IF(A981&lt;&gt;"", NF!B979, "")</f>
        <v/>
      </c>
      <c r="C981">
        <f>IF(A981&lt;&gt;"", NF!C979, "")</f>
        <v/>
      </c>
      <c r="D981">
        <f>IF(A981&lt;&gt;"", NF!D979, "")</f>
        <v/>
      </c>
      <c r="E981">
        <f>IF(A981&lt;&gt;"", XLOOKUP(A981, Extrato!$D:$D, Extrato!$A:$A, ""), "")</f>
        <v/>
      </c>
      <c r="F981">
        <f>IF(A981&lt;&gt;"", XLOOKUP(A981, Extrato!$D:$D, Extrato!$B:$B, ""), "")</f>
        <v/>
      </c>
      <c r="G981">
        <f>IF(A981&lt;&gt;"", XLOOKUP(A981, Extrato!$D:$D, Extrato!$C:$C, ""), "")</f>
        <v/>
      </c>
      <c r="H981">
        <f>IF(A981="", "", IF(E981="", "Pendente", IF(C981=G981, "OK", "Valor divergente")))</f>
        <v/>
      </c>
    </row>
    <row r="982">
      <c r="A982">
        <f>IF(NF!A980&lt;&gt;"", NF!A980, "")</f>
        <v/>
      </c>
      <c r="B982">
        <f>IF(A982&lt;&gt;"", NF!B980, "")</f>
        <v/>
      </c>
      <c r="C982">
        <f>IF(A982&lt;&gt;"", NF!C980, "")</f>
        <v/>
      </c>
      <c r="D982">
        <f>IF(A982&lt;&gt;"", NF!D980, "")</f>
        <v/>
      </c>
      <c r="E982">
        <f>IF(A982&lt;&gt;"", XLOOKUP(A982, Extrato!$D:$D, Extrato!$A:$A, ""), "")</f>
        <v/>
      </c>
      <c r="F982">
        <f>IF(A982&lt;&gt;"", XLOOKUP(A982, Extrato!$D:$D, Extrato!$B:$B, ""), "")</f>
        <v/>
      </c>
      <c r="G982">
        <f>IF(A982&lt;&gt;"", XLOOKUP(A982, Extrato!$D:$D, Extrato!$C:$C, ""), "")</f>
        <v/>
      </c>
      <c r="H982">
        <f>IF(A982="", "", IF(E982="", "Pendente", IF(C982=G982, "OK", "Valor divergente")))</f>
        <v/>
      </c>
    </row>
    <row r="983">
      <c r="A983">
        <f>IF(NF!A981&lt;&gt;"", NF!A981, "")</f>
        <v/>
      </c>
      <c r="B983">
        <f>IF(A983&lt;&gt;"", NF!B981, "")</f>
        <v/>
      </c>
      <c r="C983">
        <f>IF(A983&lt;&gt;"", NF!C981, "")</f>
        <v/>
      </c>
      <c r="D983">
        <f>IF(A983&lt;&gt;"", NF!D981, "")</f>
        <v/>
      </c>
      <c r="E983">
        <f>IF(A983&lt;&gt;"", XLOOKUP(A983, Extrato!$D:$D, Extrato!$A:$A, ""), "")</f>
        <v/>
      </c>
      <c r="F983">
        <f>IF(A983&lt;&gt;"", XLOOKUP(A983, Extrato!$D:$D, Extrato!$B:$B, ""), "")</f>
        <v/>
      </c>
      <c r="G983">
        <f>IF(A983&lt;&gt;"", XLOOKUP(A983, Extrato!$D:$D, Extrato!$C:$C, ""), "")</f>
        <v/>
      </c>
      <c r="H983">
        <f>IF(A983="", "", IF(E983="", "Pendente", IF(C983=G983, "OK", "Valor divergente")))</f>
        <v/>
      </c>
    </row>
    <row r="984">
      <c r="A984">
        <f>IF(NF!A982&lt;&gt;"", NF!A982, "")</f>
        <v/>
      </c>
      <c r="B984">
        <f>IF(A984&lt;&gt;"", NF!B982, "")</f>
        <v/>
      </c>
      <c r="C984">
        <f>IF(A984&lt;&gt;"", NF!C982, "")</f>
        <v/>
      </c>
      <c r="D984">
        <f>IF(A984&lt;&gt;"", NF!D982, "")</f>
        <v/>
      </c>
      <c r="E984">
        <f>IF(A984&lt;&gt;"", XLOOKUP(A984, Extrato!$D:$D, Extrato!$A:$A, ""), "")</f>
        <v/>
      </c>
      <c r="F984">
        <f>IF(A984&lt;&gt;"", XLOOKUP(A984, Extrato!$D:$D, Extrato!$B:$B, ""), "")</f>
        <v/>
      </c>
      <c r="G984">
        <f>IF(A984&lt;&gt;"", XLOOKUP(A984, Extrato!$D:$D, Extrato!$C:$C, ""), "")</f>
        <v/>
      </c>
      <c r="H984">
        <f>IF(A984="", "", IF(E984="", "Pendente", IF(C984=G984, "OK", "Valor divergente")))</f>
        <v/>
      </c>
    </row>
    <row r="985">
      <c r="A985">
        <f>IF(NF!A983&lt;&gt;"", NF!A983, "")</f>
        <v/>
      </c>
      <c r="B985">
        <f>IF(A985&lt;&gt;"", NF!B983, "")</f>
        <v/>
      </c>
      <c r="C985">
        <f>IF(A985&lt;&gt;"", NF!C983, "")</f>
        <v/>
      </c>
      <c r="D985">
        <f>IF(A985&lt;&gt;"", NF!D983, "")</f>
        <v/>
      </c>
      <c r="E985">
        <f>IF(A985&lt;&gt;"", XLOOKUP(A985, Extrato!$D:$D, Extrato!$A:$A, ""), "")</f>
        <v/>
      </c>
      <c r="F985">
        <f>IF(A985&lt;&gt;"", XLOOKUP(A985, Extrato!$D:$D, Extrato!$B:$B, ""), "")</f>
        <v/>
      </c>
      <c r="G985">
        <f>IF(A985&lt;&gt;"", XLOOKUP(A985, Extrato!$D:$D, Extrato!$C:$C, ""), "")</f>
        <v/>
      </c>
      <c r="H985">
        <f>IF(A985="", "", IF(E985="", "Pendente", IF(C985=G985, "OK", "Valor divergente")))</f>
        <v/>
      </c>
    </row>
    <row r="986">
      <c r="A986">
        <f>IF(NF!A984&lt;&gt;"", NF!A984, "")</f>
        <v/>
      </c>
      <c r="B986">
        <f>IF(A986&lt;&gt;"", NF!B984, "")</f>
        <v/>
      </c>
      <c r="C986">
        <f>IF(A986&lt;&gt;"", NF!C984, "")</f>
        <v/>
      </c>
      <c r="D986">
        <f>IF(A986&lt;&gt;"", NF!D984, "")</f>
        <v/>
      </c>
      <c r="E986">
        <f>IF(A986&lt;&gt;"", XLOOKUP(A986, Extrato!$D:$D, Extrato!$A:$A, ""), "")</f>
        <v/>
      </c>
      <c r="F986">
        <f>IF(A986&lt;&gt;"", XLOOKUP(A986, Extrato!$D:$D, Extrato!$B:$B, ""), "")</f>
        <v/>
      </c>
      <c r="G986">
        <f>IF(A986&lt;&gt;"", XLOOKUP(A986, Extrato!$D:$D, Extrato!$C:$C, ""), "")</f>
        <v/>
      </c>
      <c r="H986">
        <f>IF(A986="", "", IF(E986="", "Pendente", IF(C986=G986, "OK", "Valor divergente")))</f>
        <v/>
      </c>
    </row>
    <row r="987">
      <c r="A987">
        <f>IF(NF!A985&lt;&gt;"", NF!A985, "")</f>
        <v/>
      </c>
      <c r="B987">
        <f>IF(A987&lt;&gt;"", NF!B985, "")</f>
        <v/>
      </c>
      <c r="C987">
        <f>IF(A987&lt;&gt;"", NF!C985, "")</f>
        <v/>
      </c>
      <c r="D987">
        <f>IF(A987&lt;&gt;"", NF!D985, "")</f>
        <v/>
      </c>
      <c r="E987">
        <f>IF(A987&lt;&gt;"", XLOOKUP(A987, Extrato!$D:$D, Extrato!$A:$A, ""), "")</f>
        <v/>
      </c>
      <c r="F987">
        <f>IF(A987&lt;&gt;"", XLOOKUP(A987, Extrato!$D:$D, Extrato!$B:$B, ""), "")</f>
        <v/>
      </c>
      <c r="G987">
        <f>IF(A987&lt;&gt;"", XLOOKUP(A987, Extrato!$D:$D, Extrato!$C:$C, ""), "")</f>
        <v/>
      </c>
      <c r="H987">
        <f>IF(A987="", "", IF(E987="", "Pendente", IF(C987=G987, "OK", "Valor divergente")))</f>
        <v/>
      </c>
    </row>
    <row r="988">
      <c r="A988">
        <f>IF(NF!A986&lt;&gt;"", NF!A986, "")</f>
        <v/>
      </c>
      <c r="B988">
        <f>IF(A988&lt;&gt;"", NF!B986, "")</f>
        <v/>
      </c>
      <c r="C988">
        <f>IF(A988&lt;&gt;"", NF!C986, "")</f>
        <v/>
      </c>
      <c r="D988">
        <f>IF(A988&lt;&gt;"", NF!D986, "")</f>
        <v/>
      </c>
      <c r="E988">
        <f>IF(A988&lt;&gt;"", XLOOKUP(A988, Extrato!$D:$D, Extrato!$A:$A, ""), "")</f>
        <v/>
      </c>
      <c r="F988">
        <f>IF(A988&lt;&gt;"", XLOOKUP(A988, Extrato!$D:$D, Extrato!$B:$B, ""), "")</f>
        <v/>
      </c>
      <c r="G988">
        <f>IF(A988&lt;&gt;"", XLOOKUP(A988, Extrato!$D:$D, Extrato!$C:$C, ""), "")</f>
        <v/>
      </c>
      <c r="H988">
        <f>IF(A988="", "", IF(E988="", "Pendente", IF(C988=G988, "OK", "Valor divergente")))</f>
        <v/>
      </c>
    </row>
    <row r="989">
      <c r="A989">
        <f>IF(NF!A987&lt;&gt;"", NF!A987, "")</f>
        <v/>
      </c>
      <c r="B989">
        <f>IF(A989&lt;&gt;"", NF!B987, "")</f>
        <v/>
      </c>
      <c r="C989">
        <f>IF(A989&lt;&gt;"", NF!C987, "")</f>
        <v/>
      </c>
      <c r="D989">
        <f>IF(A989&lt;&gt;"", NF!D987, "")</f>
        <v/>
      </c>
      <c r="E989">
        <f>IF(A989&lt;&gt;"", XLOOKUP(A989, Extrato!$D:$D, Extrato!$A:$A, ""), "")</f>
        <v/>
      </c>
      <c r="F989">
        <f>IF(A989&lt;&gt;"", XLOOKUP(A989, Extrato!$D:$D, Extrato!$B:$B, ""), "")</f>
        <v/>
      </c>
      <c r="G989">
        <f>IF(A989&lt;&gt;"", XLOOKUP(A989, Extrato!$D:$D, Extrato!$C:$C, ""), "")</f>
        <v/>
      </c>
      <c r="H989">
        <f>IF(A989="", "", IF(E989="", "Pendente", IF(C989=G989, "OK", "Valor divergente")))</f>
        <v/>
      </c>
    </row>
    <row r="990">
      <c r="A990">
        <f>IF(NF!A988&lt;&gt;"", NF!A988, "")</f>
        <v/>
      </c>
      <c r="B990">
        <f>IF(A990&lt;&gt;"", NF!B988, "")</f>
        <v/>
      </c>
      <c r="C990">
        <f>IF(A990&lt;&gt;"", NF!C988, "")</f>
        <v/>
      </c>
      <c r="D990">
        <f>IF(A990&lt;&gt;"", NF!D988, "")</f>
        <v/>
      </c>
      <c r="E990">
        <f>IF(A990&lt;&gt;"", XLOOKUP(A990, Extrato!$D:$D, Extrato!$A:$A, ""), "")</f>
        <v/>
      </c>
      <c r="F990">
        <f>IF(A990&lt;&gt;"", XLOOKUP(A990, Extrato!$D:$D, Extrato!$B:$B, ""), "")</f>
        <v/>
      </c>
      <c r="G990">
        <f>IF(A990&lt;&gt;"", XLOOKUP(A990, Extrato!$D:$D, Extrato!$C:$C, ""), "")</f>
        <v/>
      </c>
      <c r="H990">
        <f>IF(A990="", "", IF(E990="", "Pendente", IF(C990=G990, "OK", "Valor divergente")))</f>
        <v/>
      </c>
    </row>
    <row r="991">
      <c r="A991">
        <f>IF(NF!A989&lt;&gt;"", NF!A989, "")</f>
        <v/>
      </c>
      <c r="B991">
        <f>IF(A991&lt;&gt;"", NF!B989, "")</f>
        <v/>
      </c>
      <c r="C991">
        <f>IF(A991&lt;&gt;"", NF!C989, "")</f>
        <v/>
      </c>
      <c r="D991">
        <f>IF(A991&lt;&gt;"", NF!D989, "")</f>
        <v/>
      </c>
      <c r="E991">
        <f>IF(A991&lt;&gt;"", XLOOKUP(A991, Extrato!$D:$D, Extrato!$A:$A, ""), "")</f>
        <v/>
      </c>
      <c r="F991">
        <f>IF(A991&lt;&gt;"", XLOOKUP(A991, Extrato!$D:$D, Extrato!$B:$B, ""), "")</f>
        <v/>
      </c>
      <c r="G991">
        <f>IF(A991&lt;&gt;"", XLOOKUP(A991, Extrato!$D:$D, Extrato!$C:$C, ""), "")</f>
        <v/>
      </c>
      <c r="H991">
        <f>IF(A991="", "", IF(E991="", "Pendente", IF(C991=G991, "OK", "Valor divergente")))</f>
        <v/>
      </c>
    </row>
    <row r="992">
      <c r="A992">
        <f>IF(NF!A990&lt;&gt;"", NF!A990, "")</f>
        <v/>
      </c>
      <c r="B992">
        <f>IF(A992&lt;&gt;"", NF!B990, "")</f>
        <v/>
      </c>
      <c r="C992">
        <f>IF(A992&lt;&gt;"", NF!C990, "")</f>
        <v/>
      </c>
      <c r="D992">
        <f>IF(A992&lt;&gt;"", NF!D990, "")</f>
        <v/>
      </c>
      <c r="E992">
        <f>IF(A992&lt;&gt;"", XLOOKUP(A992, Extrato!$D:$D, Extrato!$A:$A, ""), "")</f>
        <v/>
      </c>
      <c r="F992">
        <f>IF(A992&lt;&gt;"", XLOOKUP(A992, Extrato!$D:$D, Extrato!$B:$B, ""), "")</f>
        <v/>
      </c>
      <c r="G992">
        <f>IF(A992&lt;&gt;"", XLOOKUP(A992, Extrato!$D:$D, Extrato!$C:$C, ""), "")</f>
        <v/>
      </c>
      <c r="H992">
        <f>IF(A992="", "", IF(E992="", "Pendente", IF(C992=G992, "OK", "Valor divergente")))</f>
        <v/>
      </c>
    </row>
    <row r="993">
      <c r="A993">
        <f>IF(NF!A991&lt;&gt;"", NF!A991, "")</f>
        <v/>
      </c>
      <c r="B993">
        <f>IF(A993&lt;&gt;"", NF!B991, "")</f>
        <v/>
      </c>
      <c r="C993">
        <f>IF(A993&lt;&gt;"", NF!C991, "")</f>
        <v/>
      </c>
      <c r="D993">
        <f>IF(A993&lt;&gt;"", NF!D991, "")</f>
        <v/>
      </c>
      <c r="E993">
        <f>IF(A993&lt;&gt;"", XLOOKUP(A993, Extrato!$D:$D, Extrato!$A:$A, ""), "")</f>
        <v/>
      </c>
      <c r="F993">
        <f>IF(A993&lt;&gt;"", XLOOKUP(A993, Extrato!$D:$D, Extrato!$B:$B, ""), "")</f>
        <v/>
      </c>
      <c r="G993">
        <f>IF(A993&lt;&gt;"", XLOOKUP(A993, Extrato!$D:$D, Extrato!$C:$C, ""), "")</f>
        <v/>
      </c>
      <c r="H993">
        <f>IF(A993="", "", IF(E993="", "Pendente", IF(C993=G993, "OK", "Valor divergente")))</f>
        <v/>
      </c>
    </row>
    <row r="994">
      <c r="A994">
        <f>IF(NF!A992&lt;&gt;"", NF!A992, "")</f>
        <v/>
      </c>
      <c r="B994">
        <f>IF(A994&lt;&gt;"", NF!B992, "")</f>
        <v/>
      </c>
      <c r="C994">
        <f>IF(A994&lt;&gt;"", NF!C992, "")</f>
        <v/>
      </c>
      <c r="D994">
        <f>IF(A994&lt;&gt;"", NF!D992, "")</f>
        <v/>
      </c>
      <c r="E994">
        <f>IF(A994&lt;&gt;"", XLOOKUP(A994, Extrato!$D:$D, Extrato!$A:$A, ""), "")</f>
        <v/>
      </c>
      <c r="F994">
        <f>IF(A994&lt;&gt;"", XLOOKUP(A994, Extrato!$D:$D, Extrato!$B:$B, ""), "")</f>
        <v/>
      </c>
      <c r="G994">
        <f>IF(A994&lt;&gt;"", XLOOKUP(A994, Extrato!$D:$D, Extrato!$C:$C, ""), "")</f>
        <v/>
      </c>
      <c r="H994">
        <f>IF(A994="", "", IF(E994="", "Pendente", IF(C994=G994, "OK", "Valor divergente")))</f>
        <v/>
      </c>
    </row>
    <row r="995">
      <c r="A995">
        <f>IF(NF!A993&lt;&gt;"", NF!A993, "")</f>
        <v/>
      </c>
      <c r="B995">
        <f>IF(A995&lt;&gt;"", NF!B993, "")</f>
        <v/>
      </c>
      <c r="C995">
        <f>IF(A995&lt;&gt;"", NF!C993, "")</f>
        <v/>
      </c>
      <c r="D995">
        <f>IF(A995&lt;&gt;"", NF!D993, "")</f>
        <v/>
      </c>
      <c r="E995">
        <f>IF(A995&lt;&gt;"", XLOOKUP(A995, Extrato!$D:$D, Extrato!$A:$A, ""), "")</f>
        <v/>
      </c>
      <c r="F995">
        <f>IF(A995&lt;&gt;"", XLOOKUP(A995, Extrato!$D:$D, Extrato!$B:$B, ""), "")</f>
        <v/>
      </c>
      <c r="G995">
        <f>IF(A995&lt;&gt;"", XLOOKUP(A995, Extrato!$D:$D, Extrato!$C:$C, ""), "")</f>
        <v/>
      </c>
      <c r="H995">
        <f>IF(A995="", "", IF(E995="", "Pendente", IF(C995=G995, "OK", "Valor divergente")))</f>
        <v/>
      </c>
    </row>
    <row r="996">
      <c r="A996">
        <f>IF(NF!A994&lt;&gt;"", NF!A994, "")</f>
        <v/>
      </c>
      <c r="B996">
        <f>IF(A996&lt;&gt;"", NF!B994, "")</f>
        <v/>
      </c>
      <c r="C996">
        <f>IF(A996&lt;&gt;"", NF!C994, "")</f>
        <v/>
      </c>
      <c r="D996">
        <f>IF(A996&lt;&gt;"", NF!D994, "")</f>
        <v/>
      </c>
      <c r="E996">
        <f>IF(A996&lt;&gt;"", XLOOKUP(A996, Extrato!$D:$D, Extrato!$A:$A, ""), "")</f>
        <v/>
      </c>
      <c r="F996">
        <f>IF(A996&lt;&gt;"", XLOOKUP(A996, Extrato!$D:$D, Extrato!$B:$B, ""), "")</f>
        <v/>
      </c>
      <c r="G996">
        <f>IF(A996&lt;&gt;"", XLOOKUP(A996, Extrato!$D:$D, Extrato!$C:$C, ""), "")</f>
        <v/>
      </c>
      <c r="H996">
        <f>IF(A996="", "", IF(E996="", "Pendente", IF(C996=G996, "OK", "Valor divergente")))</f>
        <v/>
      </c>
    </row>
    <row r="997">
      <c r="A997">
        <f>IF(NF!A995&lt;&gt;"", NF!A995, "")</f>
        <v/>
      </c>
      <c r="B997">
        <f>IF(A997&lt;&gt;"", NF!B995, "")</f>
        <v/>
      </c>
      <c r="C997">
        <f>IF(A997&lt;&gt;"", NF!C995, "")</f>
        <v/>
      </c>
      <c r="D997">
        <f>IF(A997&lt;&gt;"", NF!D995, "")</f>
        <v/>
      </c>
      <c r="E997">
        <f>IF(A997&lt;&gt;"", XLOOKUP(A997, Extrato!$D:$D, Extrato!$A:$A, ""), "")</f>
        <v/>
      </c>
      <c r="F997">
        <f>IF(A997&lt;&gt;"", XLOOKUP(A997, Extrato!$D:$D, Extrato!$B:$B, ""), "")</f>
        <v/>
      </c>
      <c r="G997">
        <f>IF(A997&lt;&gt;"", XLOOKUP(A997, Extrato!$D:$D, Extrato!$C:$C, ""), "")</f>
        <v/>
      </c>
      <c r="H997">
        <f>IF(A997="", "", IF(E997="", "Pendente", IF(C997=G997, "OK", "Valor divergente")))</f>
        <v/>
      </c>
    </row>
    <row r="998">
      <c r="A998">
        <f>IF(NF!A996&lt;&gt;"", NF!A996, "")</f>
        <v/>
      </c>
      <c r="B998">
        <f>IF(A998&lt;&gt;"", NF!B996, "")</f>
        <v/>
      </c>
      <c r="C998">
        <f>IF(A998&lt;&gt;"", NF!C996, "")</f>
        <v/>
      </c>
      <c r="D998">
        <f>IF(A998&lt;&gt;"", NF!D996, "")</f>
        <v/>
      </c>
      <c r="E998">
        <f>IF(A998&lt;&gt;"", XLOOKUP(A998, Extrato!$D:$D, Extrato!$A:$A, ""), "")</f>
        <v/>
      </c>
      <c r="F998">
        <f>IF(A998&lt;&gt;"", XLOOKUP(A998, Extrato!$D:$D, Extrato!$B:$B, ""), "")</f>
        <v/>
      </c>
      <c r="G998">
        <f>IF(A998&lt;&gt;"", XLOOKUP(A998, Extrato!$D:$D, Extrato!$C:$C, ""), "")</f>
        <v/>
      </c>
      <c r="H998">
        <f>IF(A998="", "", IF(E998="", "Pendente", IF(C998=G998, "OK", "Valor divergente")))</f>
        <v/>
      </c>
    </row>
    <row r="999">
      <c r="A999">
        <f>IF(NF!A997&lt;&gt;"", NF!A997, "")</f>
        <v/>
      </c>
      <c r="B999">
        <f>IF(A999&lt;&gt;"", NF!B997, "")</f>
        <v/>
      </c>
      <c r="C999">
        <f>IF(A999&lt;&gt;"", NF!C997, "")</f>
        <v/>
      </c>
      <c r="D999">
        <f>IF(A999&lt;&gt;"", NF!D997, "")</f>
        <v/>
      </c>
      <c r="E999">
        <f>IF(A999&lt;&gt;"", XLOOKUP(A999, Extrato!$D:$D, Extrato!$A:$A, ""), "")</f>
        <v/>
      </c>
      <c r="F999">
        <f>IF(A999&lt;&gt;"", XLOOKUP(A999, Extrato!$D:$D, Extrato!$B:$B, ""), "")</f>
        <v/>
      </c>
      <c r="G999">
        <f>IF(A999&lt;&gt;"", XLOOKUP(A999, Extrato!$D:$D, Extrato!$C:$C, ""), "")</f>
        <v/>
      </c>
      <c r="H999">
        <f>IF(A999="", "", IF(E999="", "Pendente", IF(C999=G999, "OK", "Valor divergente")))</f>
        <v/>
      </c>
    </row>
    <row r="1000">
      <c r="A1000">
        <f>IF(NF!A998&lt;&gt;"", NF!A998, "")</f>
        <v/>
      </c>
      <c r="B1000">
        <f>IF(A1000&lt;&gt;"", NF!B998, "")</f>
        <v/>
      </c>
      <c r="C1000">
        <f>IF(A1000&lt;&gt;"", NF!C998, "")</f>
        <v/>
      </c>
      <c r="D1000">
        <f>IF(A1000&lt;&gt;"", NF!D998, "")</f>
        <v/>
      </c>
      <c r="E1000">
        <f>IF(A1000&lt;&gt;"", XLOOKUP(A1000, Extrato!$D:$D, Extrato!$A:$A, ""), "")</f>
        <v/>
      </c>
      <c r="F1000">
        <f>IF(A1000&lt;&gt;"", XLOOKUP(A1000, Extrato!$D:$D, Extrato!$B:$B, ""), "")</f>
        <v/>
      </c>
      <c r="G1000">
        <f>IF(A1000&lt;&gt;"", XLOOKUP(A1000, Extrato!$D:$D, Extrato!$C:$C, ""), "")</f>
        <v/>
      </c>
      <c r="H1000">
        <f>IF(A1000="", "", IF(E1000="", "Pendente", IF(C1000=G1000, "OK", "Valor divergente")))</f>
        <v/>
      </c>
    </row>
    <row r="1001">
      <c r="A1001">
        <f>IF(NF!A999&lt;&gt;"", NF!A999, "")</f>
        <v/>
      </c>
      <c r="B1001">
        <f>IF(A1001&lt;&gt;"", NF!B999, "")</f>
        <v/>
      </c>
      <c r="C1001">
        <f>IF(A1001&lt;&gt;"", NF!C999, "")</f>
        <v/>
      </c>
      <c r="D1001">
        <f>IF(A1001&lt;&gt;"", NF!D999, "")</f>
        <v/>
      </c>
      <c r="E1001">
        <f>IF(A1001&lt;&gt;"", XLOOKUP(A1001, Extrato!$D:$D, Extrato!$A:$A, ""), "")</f>
        <v/>
      </c>
      <c r="F1001">
        <f>IF(A1001&lt;&gt;"", XLOOKUP(A1001, Extrato!$D:$D, Extrato!$B:$B, ""), "")</f>
        <v/>
      </c>
      <c r="G1001">
        <f>IF(A1001&lt;&gt;"", XLOOKUP(A1001, Extrato!$D:$D, Extrato!$C:$C, ""), "")</f>
        <v/>
      </c>
      <c r="H1001">
        <f>IF(A1001="", "", IF(E1001="", "Pendente", IF(C1001=G1001, "OK", "Valor divergente")))</f>
        <v/>
      </c>
    </row>
    <row r="1002">
      <c r="A1002">
        <f>IF(NF!A1000&lt;&gt;"", NF!A1000, "")</f>
        <v/>
      </c>
      <c r="B1002">
        <f>IF(A1002&lt;&gt;"", NF!B1000, "")</f>
        <v/>
      </c>
      <c r="C1002">
        <f>IF(A1002&lt;&gt;"", NF!C1000, "")</f>
        <v/>
      </c>
      <c r="D1002">
        <f>IF(A1002&lt;&gt;"", NF!D1000, "")</f>
        <v/>
      </c>
      <c r="E1002">
        <f>IF(A1002&lt;&gt;"", XLOOKUP(A1002, Extrato!$D:$D, Extrato!$A:$A, ""), "")</f>
        <v/>
      </c>
      <c r="F1002">
        <f>IF(A1002&lt;&gt;"", XLOOKUP(A1002, Extrato!$D:$D, Extrato!$B:$B, ""), "")</f>
        <v/>
      </c>
      <c r="G1002">
        <f>IF(A1002&lt;&gt;"", XLOOKUP(A1002, Extrato!$D:$D, Extrato!$C:$C, ""), "")</f>
        <v/>
      </c>
      <c r="H1002">
        <f>IF(A1002="", "", IF(E1002="", "Pendente", IF(C1002=G1002, "OK", "Valor divergente")))</f>
        <v/>
      </c>
    </row>
    <row r="1003">
      <c r="A1003">
        <f>IF(NF!A1001&lt;&gt;"", NF!A1001, "")</f>
        <v/>
      </c>
      <c r="B1003">
        <f>IF(A1003&lt;&gt;"", NF!B1001, "")</f>
        <v/>
      </c>
      <c r="C1003">
        <f>IF(A1003&lt;&gt;"", NF!C1001, "")</f>
        <v/>
      </c>
      <c r="D1003">
        <f>IF(A1003&lt;&gt;"", NF!D1001, "")</f>
        <v/>
      </c>
      <c r="E1003">
        <f>IF(A1003&lt;&gt;"", XLOOKUP(A1003, Extrato!$D:$D, Extrato!$A:$A, ""), "")</f>
        <v/>
      </c>
      <c r="F1003">
        <f>IF(A1003&lt;&gt;"", XLOOKUP(A1003, Extrato!$D:$D, Extrato!$B:$B, ""), "")</f>
        <v/>
      </c>
      <c r="G1003">
        <f>IF(A1003&lt;&gt;"", XLOOKUP(A1003, Extrato!$D:$D, Extrato!$C:$C, ""), "")</f>
        <v/>
      </c>
      <c r="H1003">
        <f>IF(A1003="", "", IF(E1003="", "Pendente", IF(C1003=G1003, "OK", "Valor divergente")))</f>
        <v/>
      </c>
    </row>
    <row r="1006">
      <c r="A1006" s="3" t="inlineStr">
        <is>
          <t>Lançamentos no extrato sem NF (não registrados):</t>
        </is>
      </c>
    </row>
    <row r="1007">
      <c r="A1007" s="3" t="inlineStr">
        <is>
          <t>Data Extrato</t>
        </is>
      </c>
      <c r="B1007" s="3" t="inlineStr">
        <is>
          <t>Descrição Extrato</t>
        </is>
      </c>
      <c r="C1007" s="3" t="inlineStr">
        <is>
          <t>Valor Extrato</t>
        </is>
      </c>
      <c r="D1007" s="3" t="inlineStr">
        <is>
          <t>Identificador</t>
        </is>
      </c>
    </row>
    <row r="1008">
      <c r="A1008">
        <f>FILTER(Extrato!A2:D1001, COUNTIFS(NF!$A$2:$A$1001, Extrato!$D$2:$D$1001, NF!$C$2:$C$1001, Extrato!$C$2:$C$1001)=0)</f>
        <v/>
      </c>
    </row>
  </sheetData>
  <mergeCells count="1">
    <mergeCell ref="A1:H1"/>
  </mergeCells>
  <conditionalFormatting sqref="H4:H1003">
    <cfRule type="cellIs" priority="1" operator="equal" dxfId="0">
      <formula>"Valor divergente"</formula>
    </cfRule>
    <cfRule type="cellIs" priority="2" operator="equal" dxfId="1">
      <formula>"Pendente"</formula>
    </cfRule>
    <cfRule type="cellIs" priority="3" operator="equal" dxfId="2">
      <formula>"OK"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2026-02-02T15:10:09Z</dcterms:created>
  <dcterms:modified xmlns:dcterms="http://purl.org/dc/terms/" xmlns:xsi="http://www.w3.org/2001/XMLSchema-instance" xsi:type="dcterms:W3CDTF">2026-02-02T15:10:09Z</dcterms:modified>
</cp:coreProperties>
</file>